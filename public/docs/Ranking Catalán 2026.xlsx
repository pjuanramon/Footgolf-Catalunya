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cdd33c0805a018/Proyectos/Footgolf_Cat_Web/public/docs/"/>
    </mc:Choice>
  </mc:AlternateContent>
  <xr:revisionPtr revIDLastSave="58" documentId="8_{D0CAF2AB-DD7B-42E3-B202-6E1C5ACD3E1F}" xr6:coauthVersionLast="47" xr6:coauthVersionMax="47" xr10:uidLastSave="{EA83097E-A167-4543-9E26-C9ECD75B8DA6}"/>
  <bookViews>
    <workbookView xWindow="-110" yWindow="-110" windowWidth="25180" windowHeight="16140" firstSheet="1" activeTab="2" xr2:uid="{00000000-000D-0000-FFFF-FFFF00000000}"/>
  </bookViews>
  <sheets>
    <sheet name="Palmares" sheetId="42" r:id="rId1"/>
    <sheet name="Semilla Liga Plata" sheetId="15" r:id="rId2"/>
    <sheet name="Ranking Masculino" sheetId="2" r:id="rId3"/>
    <sheet name="Ranking Senior" sheetId="3" r:id="rId4"/>
    <sheet name="Ranking Rookie" sheetId="4" r:id="rId5"/>
    <sheet name="Ranking Plata" sheetId="23" r:id="rId6"/>
    <sheet name="Etapa 1 Masculino" sheetId="1" r:id="rId7"/>
    <sheet name="Etapa 1 Senior" sheetId="41" r:id="rId8"/>
    <sheet name="Etapa 1 Rookie" sheetId="40" r:id="rId9"/>
    <sheet name="Etapa 10 absoluta" sheetId="36" r:id="rId10"/>
    <sheet name="Etapa 10 Senior" sheetId="37" r:id="rId11"/>
    <sheet name="Etapa 5 Plata" sheetId="38" r:id="rId12"/>
    <sheet name="Etapa 10 Rookie" sheetId="39" r:id="rId13"/>
    <sheet name="Etapa 9 Absoluta" sheetId="32" r:id="rId14"/>
    <sheet name="Etapa 9 Senior" sheetId="33" r:id="rId15"/>
    <sheet name="Etapa 9 Rookie" sheetId="34" r:id="rId16"/>
    <sheet name="Etapa 4 Plata" sheetId="35" r:id="rId17"/>
    <sheet name="Etapa 8 Absoluta" sheetId="28" r:id="rId18"/>
    <sheet name="Etapa 8 Senior" sheetId="29" r:id="rId19"/>
    <sheet name="Etapa 8 Rookie" sheetId="30" r:id="rId20"/>
    <sheet name="Etapa 3 Plata" sheetId="31" r:id="rId21"/>
    <sheet name="Etapa 7 absoluta" sheetId="24" r:id="rId22"/>
    <sheet name="Etapa 7 Senior" sheetId="25" r:id="rId23"/>
    <sheet name="Etapa 7 Rookie" sheetId="26" r:id="rId24"/>
    <sheet name="Etapa 2 Plata" sheetId="27" r:id="rId25"/>
    <sheet name="Etapa 6 Absoluta" sheetId="19" r:id="rId26"/>
    <sheet name="Etapa 6 Senior" sheetId="20" r:id="rId27"/>
    <sheet name="Etapa 6 Rookie" sheetId="21" r:id="rId28"/>
    <sheet name="Etapa 1 Plata" sheetId="22" r:id="rId29"/>
    <sheet name="Etapa 5 Absoluta" sheetId="16" r:id="rId30"/>
    <sheet name="Etapa 5 Senior" sheetId="17" r:id="rId31"/>
    <sheet name="Etapa 5 Rookie" sheetId="18" r:id="rId32"/>
    <sheet name="Etapa 4 Absoluta" sheetId="12" r:id="rId33"/>
    <sheet name="Etapa 4 Senior" sheetId="13" r:id="rId34"/>
    <sheet name="Etapa 4 Rookie" sheetId="14" r:id="rId35"/>
    <sheet name="Etapa 2 Masculina" sheetId="6" r:id="rId36"/>
    <sheet name="Etapa 2 Senior" sheetId="7" r:id="rId37"/>
    <sheet name="Etapa 2 Rookie" sheetId="8" r:id="rId38"/>
    <sheet name="Etapa 3 Absoluta" sheetId="9" r:id="rId39"/>
    <sheet name="Etapa 3 Senior" sheetId="10" r:id="rId40"/>
    <sheet name="Etapa 3 Rookie" sheetId="11" r:id="rId41"/>
    <sheet name="Puntuacion" sheetId="5" r:id="rId42"/>
  </sheets>
  <definedNames>
    <definedName name="_xlnm._FilterDatabase" localSheetId="6" hidden="1">'Etapa 1 Masculino'!$B$2:$F$22</definedName>
    <definedName name="_xlnm._FilterDatabase" localSheetId="33" hidden="1">'Etapa 4 Senior'!$B$2:$G$7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0" i="4"/>
  <c r="B20" i="4"/>
  <c r="B21" i="4"/>
  <c r="E18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7" i="2"/>
  <c r="D30" i="2"/>
  <c r="D28" i="2"/>
  <c r="E21" i="2"/>
  <c r="E22" i="2"/>
  <c r="E25" i="2"/>
  <c r="E29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4" i="7"/>
  <c r="B5" i="7"/>
  <c r="B6" i="7"/>
  <c r="B7" i="7"/>
  <c r="B8" i="7"/>
  <c r="B3" i="7"/>
  <c r="B6" i="6"/>
  <c r="B9" i="6"/>
  <c r="B7" i="6"/>
  <c r="B8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D22" i="4"/>
  <c r="D23" i="4"/>
  <c r="D24" i="4"/>
  <c r="D25" i="4"/>
  <c r="D26" i="4"/>
  <c r="D15" i="4"/>
  <c r="D27" i="4"/>
  <c r="D28" i="4"/>
  <c r="D29" i="4"/>
  <c r="D30" i="4"/>
  <c r="D31" i="4"/>
  <c r="D19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18" i="4"/>
  <c r="B35" i="4"/>
  <c r="B34" i="4"/>
  <c r="B33" i="4"/>
  <c r="B32" i="4"/>
  <c r="B19" i="4"/>
  <c r="B9" i="4"/>
  <c r="B31" i="4"/>
  <c r="B10" i="4"/>
  <c r="B6" i="4"/>
  <c r="B30" i="4"/>
  <c r="B29" i="4"/>
  <c r="B13" i="4"/>
  <c r="B28" i="4"/>
  <c r="B27" i="4"/>
  <c r="B8" i="4"/>
  <c r="B15" i="4"/>
  <c r="B7" i="4"/>
  <c r="B26" i="4"/>
  <c r="B25" i="4"/>
  <c r="B23" i="4"/>
  <c r="B11" i="4"/>
  <c r="B22" i="4"/>
  <c r="D18" i="2"/>
  <c r="D33" i="2"/>
  <c r="D34" i="2"/>
  <c r="D26" i="2"/>
  <c r="D27" i="2"/>
  <c r="D35" i="2"/>
  <c r="D36" i="2"/>
  <c r="D37" i="2"/>
  <c r="D38" i="2"/>
  <c r="D31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B14" i="40"/>
  <c r="B13" i="40"/>
  <c r="B12" i="40"/>
  <c r="B11" i="40"/>
  <c r="B10" i="40"/>
  <c r="B9" i="40"/>
  <c r="B8" i="40"/>
  <c r="B7" i="40"/>
  <c r="B6" i="40"/>
  <c r="B5" i="40"/>
  <c r="B4" i="40"/>
  <c r="B3" i="40"/>
  <c r="B3" i="41"/>
  <c r="B4" i="41"/>
  <c r="B5" i="41"/>
  <c r="B6" i="41"/>
  <c r="D43" i="3"/>
  <c r="D12" i="3"/>
  <c r="D13" i="3"/>
  <c r="Q13" i="3" s="1" a="1"/>
  <c r="Q13" i="3" s="1"/>
  <c r="D14" i="3"/>
  <c r="D15" i="3"/>
  <c r="D16" i="3"/>
  <c r="Q16" i="3" s="1" a="1"/>
  <c r="Q16" i="3" s="1"/>
  <c r="D17" i="3"/>
  <c r="D18" i="3"/>
  <c r="D19" i="3"/>
  <c r="D20" i="3"/>
  <c r="D10" i="3"/>
  <c r="D21" i="3"/>
  <c r="D22" i="3"/>
  <c r="D24" i="3"/>
  <c r="D25" i="3"/>
  <c r="D26" i="3"/>
  <c r="D27" i="3"/>
  <c r="Q27" i="3" s="1" a="1"/>
  <c r="Q27" i="3" s="1"/>
  <c r="D28" i="3"/>
  <c r="Q28" i="3" s="1" a="1"/>
  <c r="Q28" i="3" s="1"/>
  <c r="D29" i="3"/>
  <c r="D30" i="3"/>
  <c r="P30" i="3" s="1" a="1"/>
  <c r="P30" i="3" s="1"/>
  <c r="D31" i="3"/>
  <c r="D32" i="3"/>
  <c r="D33" i="3"/>
  <c r="D34" i="3"/>
  <c r="D11" i="3"/>
  <c r="D35" i="3"/>
  <c r="D36" i="3"/>
  <c r="D37" i="3"/>
  <c r="D38" i="3"/>
  <c r="D39" i="3"/>
  <c r="D40" i="3"/>
  <c r="D41" i="3"/>
  <c r="D42" i="3"/>
  <c r="D44" i="3"/>
  <c r="D45" i="3"/>
  <c r="D46" i="3"/>
  <c r="D47" i="3"/>
  <c r="D48" i="3"/>
  <c r="D49" i="3"/>
  <c r="B6" i="3"/>
  <c r="D23" i="3"/>
  <c r="B5" i="1"/>
  <c r="B19" i="1"/>
  <c r="B18" i="1"/>
  <c r="B13" i="1"/>
  <c r="B17" i="1"/>
  <c r="B15" i="1"/>
  <c r="B21" i="1"/>
  <c r="B8" i="1"/>
  <c r="B20" i="1"/>
  <c r="B3" i="1"/>
  <c r="B11" i="1"/>
  <c r="B22" i="1"/>
  <c r="B14" i="1"/>
  <c r="B12" i="1"/>
  <c r="B16" i="1"/>
  <c r="B10" i="1"/>
  <c r="B4" i="1"/>
  <c r="B9" i="1"/>
  <c r="Q18" i="3" l="1" a="1"/>
  <c r="Q18" i="3" s="1"/>
  <c r="Q47" i="3" a="1"/>
  <c r="Q47" i="3" s="1"/>
  <c r="Q46" i="3" a="1"/>
  <c r="Q46" i="3" s="1"/>
  <c r="Q37" i="3" a="1"/>
  <c r="Q37" i="3" s="1"/>
  <c r="P34" i="3" a="1"/>
  <c r="P34" i="3" s="1"/>
  <c r="Q45" i="3" a="1"/>
  <c r="Q45" i="3" s="1"/>
  <c r="Q48" i="3" a="1"/>
  <c r="Q48" i="3" s="1"/>
  <c r="Q36" i="3" a="1"/>
  <c r="Q36" i="3" s="1"/>
  <c r="Q41" i="3" a="1"/>
  <c r="Q41" i="3" s="1"/>
  <c r="Q46" i="4" a="1"/>
  <c r="Q46" i="4" s="1"/>
  <c r="Q34" i="4" a="1"/>
  <c r="Q34" i="4" s="1"/>
  <c r="P24" i="4" a="1"/>
  <c r="P24" i="4" s="1"/>
  <c r="Q45" i="4" a="1"/>
  <c r="Q45" i="4" s="1"/>
  <c r="Q33" i="4" a="1"/>
  <c r="Q33" i="4" s="1"/>
  <c r="P44" i="4" a="1"/>
  <c r="P44" i="4" s="1"/>
  <c r="P32" i="4" a="1"/>
  <c r="P32" i="4" s="1"/>
  <c r="Q42" i="4" a="1"/>
  <c r="Q42" i="4" s="1"/>
  <c r="Q30" i="4" a="1"/>
  <c r="Q30" i="4" s="1"/>
  <c r="P52" i="4" a="1"/>
  <c r="P52" i="4" s="1"/>
  <c r="Q29" i="4" a="1"/>
  <c r="Q29" i="4" s="1"/>
  <c r="Q28" i="4" a="1"/>
  <c r="Q28" i="4" s="1"/>
  <c r="P27" i="4" a="1"/>
  <c r="P27" i="4" s="1"/>
  <c r="P43" i="4" a="1"/>
  <c r="P43" i="4" s="1"/>
  <c r="Q31" i="4" a="1"/>
  <c r="Q31" i="4" s="1"/>
  <c r="Q41" i="4" a="1"/>
  <c r="Q41" i="4" s="1"/>
  <c r="Q40" i="4" a="1"/>
  <c r="Q40" i="4" s="1"/>
  <c r="P51" i="4" a="1"/>
  <c r="P51" i="4" s="1"/>
  <c r="Q39" i="4" a="1"/>
  <c r="Q39" i="4" s="1"/>
  <c r="Q50" i="4" a="1"/>
  <c r="Q50" i="4" s="1"/>
  <c r="P38" i="4" a="1"/>
  <c r="P38" i="4" s="1"/>
  <c r="Q49" i="4" a="1"/>
  <c r="Q49" i="4" s="1"/>
  <c r="Q37" i="4" a="1"/>
  <c r="Q37" i="4" s="1"/>
  <c r="P48" i="4" a="1"/>
  <c r="P48" i="4" s="1"/>
  <c r="Q36" i="4" a="1"/>
  <c r="Q36" i="4" s="1"/>
  <c r="Q26" i="4" a="1"/>
  <c r="Q26" i="4" s="1"/>
  <c r="Q47" i="4" a="1"/>
  <c r="Q47" i="4" s="1"/>
  <c r="P35" i="4" a="1"/>
  <c r="P35" i="4" s="1"/>
  <c r="Q25" i="4" a="1"/>
  <c r="Q25" i="4" s="1"/>
  <c r="Q49" i="3" a="1"/>
  <c r="Q49" i="3" s="1"/>
  <c r="Q38" i="3" a="1"/>
  <c r="Q38" i="3" s="1"/>
  <c r="P40" i="3" a="1"/>
  <c r="P40" i="3" s="1"/>
  <c r="Q39" i="3" a="1"/>
  <c r="Q39" i="3" s="1"/>
  <c r="Q44" i="3" a="1"/>
  <c r="Q44" i="3" s="1"/>
  <c r="Q35" i="3" a="1"/>
  <c r="Q35" i="3" s="1"/>
  <c r="P42" i="3" a="1"/>
  <c r="P42" i="3" s="1"/>
  <c r="Q31" i="3" a="1"/>
  <c r="Q31" i="3" s="1"/>
  <c r="Q19" i="3" a="1"/>
  <c r="Q19" i="3" s="1"/>
  <c r="P50" i="2" a="1"/>
  <c r="P50" i="2" s="1"/>
  <c r="P38" i="2" a="1"/>
  <c r="P38" i="2" s="1"/>
  <c r="P43" i="2" a="1"/>
  <c r="P43" i="2" s="1"/>
  <c r="P34" i="2" a="1"/>
  <c r="P34" i="2" s="1"/>
  <c r="P33" i="2" a="1"/>
  <c r="P33" i="2" s="1"/>
  <c r="P49" i="2" a="1"/>
  <c r="P49" i="2" s="1"/>
  <c r="P37" i="2" a="1"/>
  <c r="P37" i="2" s="1"/>
  <c r="P48" i="2" a="1"/>
  <c r="P48" i="2" s="1"/>
  <c r="P52" i="2" a="1"/>
  <c r="P52" i="2" s="1"/>
  <c r="P42" i="2" a="1"/>
  <c r="P42" i="2" s="1"/>
  <c r="P41" i="2" a="1"/>
  <c r="P41" i="2" s="1"/>
  <c r="P40" i="2" a="1"/>
  <c r="P40" i="2" s="1"/>
  <c r="P51" i="2" a="1"/>
  <c r="P51" i="2" s="1"/>
  <c r="P39" i="2" a="1"/>
  <c r="P39" i="2" s="1"/>
  <c r="P47" i="2" a="1"/>
  <c r="P47" i="2" s="1"/>
  <c r="P46" i="2" a="1"/>
  <c r="P46" i="2" s="1"/>
  <c r="P45" i="2" a="1"/>
  <c r="P45" i="2" s="1"/>
  <c r="P36" i="2" a="1"/>
  <c r="P36" i="2" s="1"/>
  <c r="P35" i="2" a="1"/>
  <c r="P35" i="2" s="1"/>
  <c r="P44" i="2" a="1"/>
  <c r="P44" i="2" s="1"/>
  <c r="G6" i="8"/>
  <c r="E12" i="4" s="1"/>
  <c r="G7" i="8"/>
  <c r="E10" i="4" s="1"/>
  <c r="G9" i="8"/>
  <c r="E9" i="4" s="1"/>
  <c r="G13" i="8"/>
  <c r="E14" i="4" s="1"/>
  <c r="G4" i="7"/>
  <c r="E7" i="3" s="1"/>
  <c r="G14" i="8"/>
  <c r="E13" i="4" s="1"/>
  <c r="G10" i="8"/>
  <c r="E8" i="4" s="1"/>
  <c r="G11" i="8"/>
  <c r="E20" i="4" s="1"/>
  <c r="G12" i="8"/>
  <c r="E19" i="4" s="1"/>
  <c r="Q19" i="4" s="1" a="1"/>
  <c r="Q19" i="4" s="1"/>
  <c r="G16" i="8"/>
  <c r="E17" i="4" s="1"/>
  <c r="G15" i="8"/>
  <c r="G17" i="8"/>
  <c r="E16" i="4" s="1"/>
  <c r="G5" i="8"/>
  <c r="E7" i="4" s="1"/>
  <c r="G3" i="8"/>
  <c r="E15" i="4" s="1"/>
  <c r="Q15" i="4" s="1" a="1"/>
  <c r="Q15" i="4" s="1"/>
  <c r="G4" i="8"/>
  <c r="E6" i="4" s="1"/>
  <c r="G8" i="8"/>
  <c r="E11" i="4" s="1"/>
  <c r="G7" i="7"/>
  <c r="E8" i="3" s="1"/>
  <c r="G6" i="7"/>
  <c r="E9" i="3" s="1"/>
  <c r="G8" i="7"/>
  <c r="E11" i="3" s="1"/>
  <c r="Q11" i="3" s="1" a="1"/>
  <c r="Q11" i="3" s="1"/>
  <c r="G5" i="7"/>
  <c r="E10" i="3" s="1"/>
  <c r="Q10" i="3" s="1" a="1"/>
  <c r="Q10" i="3" s="1"/>
  <c r="G3" i="7"/>
  <c r="E6" i="3" s="1"/>
  <c r="P34" i="4" a="1"/>
  <c r="P34" i="4" s="1"/>
  <c r="P45" i="4" a="1"/>
  <c r="P45" i="4" s="1"/>
  <c r="Q48" i="4" a="1"/>
  <c r="Q48" i="4" s="1"/>
  <c r="P28" i="4" a="1"/>
  <c r="P28" i="4" s="1"/>
  <c r="P41" i="4" a="1"/>
  <c r="P41" i="4" s="1"/>
  <c r="P37" i="4" a="1"/>
  <c r="P37" i="4" s="1"/>
  <c r="P25" i="4" a="1"/>
  <c r="P25" i="4" s="1"/>
  <c r="P29" i="4" a="1"/>
  <c r="P29" i="4" s="1"/>
  <c r="P50" i="4" a="1"/>
  <c r="P50" i="4" s="1"/>
  <c r="Q32" i="4" a="1"/>
  <c r="Q32" i="4" s="1"/>
  <c r="Q43" i="4" a="1"/>
  <c r="Q43" i="4" s="1"/>
  <c r="P39" i="4" a="1"/>
  <c r="P39" i="4" s="1"/>
  <c r="P31" i="4" a="1"/>
  <c r="P31" i="4" s="1"/>
  <c r="Q52" i="4" a="1"/>
  <c r="Q52" i="4" s="1"/>
  <c r="P42" i="4" a="1"/>
  <c r="P42" i="4" s="1"/>
  <c r="P47" i="4" a="1"/>
  <c r="P47" i="4" s="1"/>
  <c r="Q24" i="4" a="1"/>
  <c r="Q24" i="4" s="1"/>
  <c r="Q35" i="4" a="1"/>
  <c r="Q35" i="4" s="1"/>
  <c r="Q44" i="4" a="1"/>
  <c r="Q44" i="4" s="1"/>
  <c r="P33" i="4" a="1"/>
  <c r="P33" i="4" s="1"/>
  <c r="P46" i="4" a="1"/>
  <c r="P46" i="4" s="1"/>
  <c r="Q27" i="4" a="1"/>
  <c r="Q27" i="4" s="1"/>
  <c r="Q38" i="4" a="1"/>
  <c r="Q38" i="4" s="1"/>
  <c r="P30" i="4" a="1"/>
  <c r="P30" i="4" s="1"/>
  <c r="P40" i="4" a="1"/>
  <c r="P40" i="4" s="1"/>
  <c r="P26" i="4" a="1"/>
  <c r="P26" i="4" s="1"/>
  <c r="P49" i="4" a="1"/>
  <c r="P49" i="4" s="1"/>
  <c r="Q51" i="4" a="1"/>
  <c r="Q51" i="4" s="1"/>
  <c r="P36" i="4" a="1"/>
  <c r="P36" i="4" s="1"/>
  <c r="G4" i="41"/>
  <c r="G6" i="41"/>
  <c r="G5" i="41"/>
  <c r="G3" i="41"/>
  <c r="G14" i="40"/>
  <c r="D17" i="4" s="1"/>
  <c r="G4" i="40"/>
  <c r="D6" i="4" s="1"/>
  <c r="G12" i="40"/>
  <c r="D12" i="4" s="1"/>
  <c r="G7" i="40"/>
  <c r="D18" i="4" s="1"/>
  <c r="Q18" i="4" s="1" a="1"/>
  <c r="Q18" i="4" s="1"/>
  <c r="G10" i="40"/>
  <c r="D11" i="4" s="1"/>
  <c r="G13" i="40"/>
  <c r="D16" i="4" s="1"/>
  <c r="G11" i="40"/>
  <c r="D14" i="4" s="1"/>
  <c r="G8" i="40"/>
  <c r="D9" i="4" s="1"/>
  <c r="G5" i="40"/>
  <c r="D8" i="4" s="1"/>
  <c r="G9" i="40"/>
  <c r="D10" i="4" s="1"/>
  <c r="G3" i="40"/>
  <c r="G6" i="40"/>
  <c r="D13" i="4" s="1"/>
  <c r="P16" i="3" a="1"/>
  <c r="P16" i="3" s="1"/>
  <c r="P19" i="3" a="1"/>
  <c r="P19" i="3" s="1"/>
  <c r="P27" i="3" a="1"/>
  <c r="P27" i="3" s="1"/>
  <c r="P38" i="3" a="1"/>
  <c r="P38" i="3" s="1"/>
  <c r="P46" i="3" a="1"/>
  <c r="P46" i="3" s="1"/>
  <c r="P48" i="3" a="1"/>
  <c r="P48" i="3" s="1"/>
  <c r="P28" i="3" a="1"/>
  <c r="P28" i="3" s="1"/>
  <c r="P35" i="3" a="1"/>
  <c r="P35" i="3" s="1"/>
  <c r="P44" i="3" a="1"/>
  <c r="P44" i="3" s="1"/>
  <c r="Q34" i="3" a="1"/>
  <c r="Q34" i="3" s="1"/>
  <c r="Q40" i="3" a="1"/>
  <c r="Q40" i="3" s="1"/>
  <c r="P13" i="3" a="1"/>
  <c r="P13" i="3" s="1"/>
  <c r="P37" i="3" a="1"/>
  <c r="P37" i="3" s="1"/>
  <c r="Q30" i="3" a="1"/>
  <c r="Q30" i="3" s="1"/>
  <c r="Q42" i="3" a="1"/>
  <c r="Q42" i="3" s="1"/>
  <c r="P31" i="3" a="1"/>
  <c r="P31" i="3" s="1"/>
  <c r="P36" i="3" a="1"/>
  <c r="P36" i="3" s="1"/>
  <c r="P39" i="3" a="1"/>
  <c r="P39" i="3" s="1"/>
  <c r="P41" i="3" a="1"/>
  <c r="P41" i="3" s="1"/>
  <c r="P45" i="3" a="1"/>
  <c r="P45" i="3" s="1"/>
  <c r="P47" i="3" a="1"/>
  <c r="P47" i="3" s="1"/>
  <c r="P49" i="3" a="1"/>
  <c r="P49" i="3" s="1"/>
  <c r="P18" i="3" a="1"/>
  <c r="P18" i="3" s="1"/>
  <c r="G11" i="1"/>
  <c r="D17" i="2" s="1"/>
  <c r="G17" i="1"/>
  <c r="G16" i="1"/>
  <c r="G6" i="1"/>
  <c r="G21" i="1"/>
  <c r="G9" i="1"/>
  <c r="G13" i="1"/>
  <c r="G18" i="1"/>
  <c r="G5" i="1"/>
  <c r="G20" i="1"/>
  <c r="G8" i="1"/>
  <c r="G7" i="1"/>
  <c r="G14" i="1"/>
  <c r="G4" i="1"/>
  <c r="G22" i="1"/>
  <c r="D24" i="2" s="1"/>
  <c r="G19" i="1"/>
  <c r="G12" i="1"/>
  <c r="G10" i="1"/>
  <c r="G15" i="1"/>
  <c r="G3" i="1"/>
  <c r="E21" i="4" l="1"/>
  <c r="Q21" i="4" s="1" a="1"/>
  <c r="Q21" i="4" s="1"/>
  <c r="Q9" i="4" a="1"/>
  <c r="Q9" i="4" s="1"/>
  <c r="P20" i="4" a="1"/>
  <c r="P20" i="4" s="1"/>
  <c r="Q20" i="4" a="1"/>
  <c r="Q20" i="4" s="1"/>
  <c r="P16" i="4" a="1"/>
  <c r="P16" i="4" s="1"/>
  <c r="P15" i="4" a="1"/>
  <c r="P15" i="4" s="1"/>
  <c r="P19" i="4" a="1"/>
  <c r="P19" i="4" s="1"/>
  <c r="P8" i="4" a="1"/>
  <c r="P8" i="4" s="1"/>
  <c r="P13" i="4" a="1"/>
  <c r="P13" i="4" s="1"/>
  <c r="P12" i="4" a="1"/>
  <c r="P12" i="4" s="1"/>
  <c r="Q6" i="4" a="1"/>
  <c r="Q6" i="4" s="1"/>
  <c r="P17" i="4" a="1"/>
  <c r="P17" i="4" s="1"/>
  <c r="P10" i="4" a="1"/>
  <c r="P10" i="4" s="1"/>
  <c r="D7" i="4"/>
  <c r="P7" i="4" s="1" a="1"/>
  <c r="P7" i="4" s="1"/>
  <c r="P11" i="3" a="1"/>
  <c r="P11" i="3" s="1"/>
  <c r="P10" i="3" a="1"/>
  <c r="P10" i="3" s="1"/>
  <c r="Q17" i="4" a="1"/>
  <c r="Q17" i="4" s="1"/>
  <c r="Q13" i="4" a="1"/>
  <c r="Q13" i="4" s="1"/>
  <c r="Q12" i="4" a="1"/>
  <c r="Q12" i="4" s="1"/>
  <c r="P18" i="4" a="1"/>
  <c r="P18" i="4" s="1"/>
  <c r="Q16" i="4" a="1"/>
  <c r="Q16" i="4" s="1"/>
  <c r="P9" i="4" a="1"/>
  <c r="P9" i="4" s="1"/>
  <c r="Q8" i="4" a="1"/>
  <c r="Q8" i="4" s="1"/>
  <c r="P6" i="4" a="1"/>
  <c r="P6" i="4" s="1"/>
  <c r="Q10" i="4" a="1"/>
  <c r="Q10" i="4" s="1"/>
  <c r="D6" i="3"/>
  <c r="D8" i="3"/>
  <c r="D9" i="3"/>
  <c r="D7" i="3"/>
  <c r="D19" i="2"/>
  <c r="D14" i="2"/>
  <c r="D12" i="2"/>
  <c r="D23" i="2"/>
  <c r="D9" i="2"/>
  <c r="D16" i="2"/>
  <c r="D8" i="2"/>
  <c r="D20" i="2"/>
  <c r="D10" i="2"/>
  <c r="D21" i="2"/>
  <c r="P21" i="2" s="1" a="1"/>
  <c r="P21" i="2" s="1"/>
  <c r="D15" i="2"/>
  <c r="D32" i="2"/>
  <c r="P32" i="2" s="1" a="1"/>
  <c r="P32" i="2" s="1"/>
  <c r="D29" i="2"/>
  <c r="P29" i="2" s="1" a="1"/>
  <c r="P29" i="2" s="1"/>
  <c r="D25" i="2"/>
  <c r="P25" i="2" s="1" a="1"/>
  <c r="P25" i="2" s="1"/>
  <c r="D22" i="2"/>
  <c r="P22" i="2" s="1" a="1"/>
  <c r="P22" i="2" s="1"/>
  <c r="D13" i="2"/>
  <c r="D7" i="2"/>
  <c r="D11" i="2"/>
  <c r="D6" i="2"/>
  <c r="Q43" i="3" a="1"/>
  <c r="Q43" i="3" s="1"/>
  <c r="P43" i="3" a="1"/>
  <c r="P43" i="3" s="1"/>
  <c r="Q23" i="3" a="1"/>
  <c r="Q23" i="3" s="1"/>
  <c r="P23" i="3" a="1"/>
  <c r="P23" i="3" s="1"/>
  <c r="P21" i="4" l="1" a="1"/>
  <c r="P21" i="4" s="1"/>
  <c r="Q7" i="4" a="1"/>
  <c r="Q7" i="4" s="1"/>
  <c r="Q23" i="4" a="1"/>
  <c r="Q23" i="4" s="1"/>
  <c r="P23" i="4" a="1"/>
  <c r="P23" i="4" s="1"/>
  <c r="P22" i="4" a="1"/>
  <c r="P22" i="4" s="1"/>
  <c r="Q22" i="4" a="1"/>
  <c r="Q22" i="4" s="1"/>
  <c r="Q11" i="4" a="1"/>
  <c r="Q11" i="4" s="1"/>
  <c r="P11" i="4" a="1"/>
  <c r="P11" i="4" s="1"/>
  <c r="Q14" i="4" a="1"/>
  <c r="Q14" i="4" s="1"/>
  <c r="P14" i="4" a="1"/>
  <c r="P14" i="4" s="1"/>
  <c r="Q25" i="3" a="1"/>
  <c r="Q25" i="3" s="1"/>
  <c r="P25" i="3" a="1"/>
  <c r="P25" i="3" s="1"/>
  <c r="Q21" i="3" a="1"/>
  <c r="Q21" i="3" s="1"/>
  <c r="P21" i="3" a="1"/>
  <c r="P21" i="3" s="1"/>
  <c r="Q26" i="3" a="1"/>
  <c r="Q26" i="3" s="1"/>
  <c r="P26" i="3" a="1"/>
  <c r="P26" i="3" s="1"/>
  <c r="Q17" i="3" a="1"/>
  <c r="Q17" i="3" s="1"/>
  <c r="P17" i="3" a="1"/>
  <c r="P17" i="3" s="1"/>
  <c r="Q15" i="3" a="1"/>
  <c r="Q15" i="3" s="1"/>
  <c r="P15" i="3" a="1"/>
  <c r="P15" i="3" s="1"/>
  <c r="Q6" i="3" a="1"/>
  <c r="Q6" i="3" s="1"/>
  <c r="P6" i="3" a="1"/>
  <c r="P6" i="3" s="1"/>
  <c r="P22" i="3" a="1"/>
  <c r="P22" i="3" s="1"/>
  <c r="Q22" i="3" a="1"/>
  <c r="Q22" i="3" s="1"/>
  <c r="Q8" i="3" a="1"/>
  <c r="Q8" i="3" s="1"/>
  <c r="P8" i="3" a="1"/>
  <c r="P8" i="3" s="1"/>
  <c r="Q14" i="3" a="1"/>
  <c r="Q14" i="3" s="1"/>
  <c r="P14" i="3" a="1"/>
  <c r="P14" i="3" s="1"/>
  <c r="Q12" i="3" a="1"/>
  <c r="Q12" i="3" s="1"/>
  <c r="P12" i="3" a="1"/>
  <c r="P12" i="3" s="1"/>
  <c r="Q20" i="3" a="1"/>
  <c r="Q20" i="3" s="1"/>
  <c r="P20" i="3" a="1"/>
  <c r="P20" i="3" s="1"/>
  <c r="Q32" i="3" a="1"/>
  <c r="Q32" i="3" s="1"/>
  <c r="P32" i="3" a="1"/>
  <c r="P32" i="3" s="1"/>
  <c r="P7" i="3" a="1"/>
  <c r="P7" i="3" s="1"/>
  <c r="Q7" i="3" a="1"/>
  <c r="Q7" i="3" s="1"/>
  <c r="Q29" i="3" a="1"/>
  <c r="Q29" i="3" s="1"/>
  <c r="P29" i="3" a="1"/>
  <c r="P29" i="3" s="1"/>
  <c r="Q9" i="3" a="1"/>
  <c r="Q9" i="3" s="1"/>
  <c r="P9" i="3" a="1"/>
  <c r="P9" i="3" s="1"/>
  <c r="Q33" i="3" a="1"/>
  <c r="Q33" i="3" s="1"/>
  <c r="P33" i="3" a="1"/>
  <c r="P33" i="3" s="1"/>
  <c r="Q24" i="3" a="1"/>
  <c r="Q24" i="3" s="1"/>
  <c r="P24" i="3" a="1"/>
  <c r="P24" i="3" s="1"/>
  <c r="B15" i="32" l="1"/>
  <c r="B16" i="32"/>
  <c r="B17" i="32"/>
  <c r="B18" i="32"/>
  <c r="B19" i="32"/>
  <c r="B20" i="32"/>
  <c r="B21" i="32"/>
  <c r="B22" i="32"/>
  <c r="H13" i="23"/>
  <c r="H15" i="23"/>
  <c r="H16" i="23"/>
  <c r="H17" i="23"/>
  <c r="H18" i="23"/>
  <c r="H20" i="23"/>
  <c r="H21" i="23"/>
  <c r="B17" i="39"/>
  <c r="B16" i="39"/>
  <c r="B15" i="39"/>
  <c r="B14" i="39"/>
  <c r="B13" i="39"/>
  <c r="B12" i="39"/>
  <c r="B11" i="39"/>
  <c r="B10" i="39"/>
  <c r="B9" i="39"/>
  <c r="B8" i="39"/>
  <c r="B7" i="39"/>
  <c r="B6" i="39"/>
  <c r="B5" i="39"/>
  <c r="B4" i="39"/>
  <c r="B3" i="39"/>
  <c r="B13" i="38"/>
  <c r="B12" i="38"/>
  <c r="B11" i="38"/>
  <c r="B10" i="38"/>
  <c r="B9" i="38"/>
  <c r="B8" i="38"/>
  <c r="B7" i="38"/>
  <c r="B6" i="38"/>
  <c r="B5" i="38"/>
  <c r="B4" i="38"/>
  <c r="B3" i="38"/>
  <c r="B8" i="37"/>
  <c r="B7" i="37"/>
  <c r="B6" i="37"/>
  <c r="B5" i="37"/>
  <c r="B4" i="37"/>
  <c r="B3" i="37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3" i="36"/>
  <c r="B8" i="35"/>
  <c r="G13" i="23"/>
  <c r="G15" i="23"/>
  <c r="G14" i="23"/>
  <c r="G16" i="23"/>
  <c r="G17" i="23"/>
  <c r="G18" i="23"/>
  <c r="G20" i="23"/>
  <c r="G21" i="23"/>
  <c r="G19" i="23"/>
  <c r="F8" i="23"/>
  <c r="F15" i="23"/>
  <c r="F17" i="23"/>
  <c r="F20" i="23"/>
  <c r="F21" i="23"/>
  <c r="F19" i="23"/>
  <c r="B4" i="33"/>
  <c r="B5" i="33"/>
  <c r="B3" i="34"/>
  <c r="B4" i="34"/>
  <c r="B5" i="34"/>
  <c r="B6" i="34"/>
  <c r="B7" i="34"/>
  <c r="B8" i="34"/>
  <c r="B9" i="34"/>
  <c r="B10" i="34"/>
  <c r="B11" i="34"/>
  <c r="B12" i="34"/>
  <c r="B3" i="35"/>
  <c r="B4" i="35"/>
  <c r="B5" i="35"/>
  <c r="B6" i="35"/>
  <c r="B7" i="35"/>
  <c r="B3" i="33"/>
  <c r="B9" i="32"/>
  <c r="B7" i="32"/>
  <c r="B6" i="32"/>
  <c r="B10" i="32"/>
  <c r="B3" i="32"/>
  <c r="B4" i="32"/>
  <c r="B14" i="32"/>
  <c r="B5" i="32"/>
  <c r="B12" i="32"/>
  <c r="B8" i="32"/>
  <c r="B13" i="32"/>
  <c r="B11" i="32"/>
  <c r="B12" i="31"/>
  <c r="B11" i="31"/>
  <c r="B10" i="31"/>
  <c r="B9" i="31"/>
  <c r="B8" i="31"/>
  <c r="B7" i="31"/>
  <c r="B6" i="31"/>
  <c r="B5" i="31"/>
  <c r="B4" i="31"/>
  <c r="B3" i="31"/>
  <c r="B15" i="30"/>
  <c r="B14" i="30"/>
  <c r="B12" i="30"/>
  <c r="B11" i="30"/>
  <c r="B10" i="30"/>
  <c r="B9" i="30"/>
  <c r="B8" i="30"/>
  <c r="B7" i="30"/>
  <c r="B6" i="30"/>
  <c r="B5" i="30"/>
  <c r="B4" i="30"/>
  <c r="B3" i="30"/>
  <c r="B6" i="29"/>
  <c r="B5" i="29"/>
  <c r="B4" i="29"/>
  <c r="B3" i="29"/>
  <c r="B16" i="28"/>
  <c r="B15" i="28"/>
  <c r="B8" i="28"/>
  <c r="B23" i="28"/>
  <c r="B5" i="28"/>
  <c r="B18" i="28"/>
  <c r="B13" i="28"/>
  <c r="B3" i="28"/>
  <c r="B7" i="28"/>
  <c r="B24" i="28"/>
  <c r="B4" i="28"/>
  <c r="B9" i="28"/>
  <c r="B12" i="28"/>
  <c r="B20" i="28"/>
  <c r="B6" i="28"/>
  <c r="B17" i="28"/>
  <c r="B10" i="28"/>
  <c r="B22" i="28"/>
  <c r="B14" i="28"/>
  <c r="B19" i="28"/>
  <c r="B11" i="28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D20" i="23"/>
  <c r="D14" i="23"/>
  <c r="D19" i="23"/>
  <c r="D13" i="23"/>
  <c r="D18" i="23"/>
  <c r="D21" i="23"/>
  <c r="D16" i="23"/>
  <c r="B16" i="23"/>
  <c r="B21" i="23"/>
  <c r="B20" i="23"/>
  <c r="B14" i="23"/>
  <c r="B19" i="23"/>
  <c r="B13" i="23"/>
  <c r="B18" i="23"/>
  <c r="B41" i="15"/>
  <c r="B42" i="15"/>
  <c r="B43" i="15"/>
  <c r="B44" i="15"/>
  <c r="B45" i="15"/>
  <c r="E41" i="15"/>
  <c r="E42" i="15"/>
  <c r="E43" i="15"/>
  <c r="E44" i="15"/>
  <c r="F41" i="15"/>
  <c r="F42" i="15"/>
  <c r="F43" i="15"/>
  <c r="F44" i="15"/>
  <c r="F45" i="15"/>
  <c r="G41" i="15"/>
  <c r="G42" i="15"/>
  <c r="G43" i="15"/>
  <c r="G44" i="15"/>
  <c r="G45" i="15"/>
  <c r="H41" i="15"/>
  <c r="H42" i="15"/>
  <c r="H43" i="15"/>
  <c r="H44" i="15"/>
  <c r="H45" i="15"/>
  <c r="B12" i="27"/>
  <c r="B16" i="27"/>
  <c r="B8" i="27"/>
  <c r="B10" i="27"/>
  <c r="B6" i="27"/>
  <c r="B5" i="27"/>
  <c r="B15" i="27"/>
  <c r="B17" i="27"/>
  <c r="B9" i="27"/>
  <c r="B3" i="27"/>
  <c r="B7" i="27"/>
  <c r="B11" i="27"/>
  <c r="B4" i="27"/>
  <c r="B14" i="27"/>
  <c r="B13" i="27"/>
  <c r="B19" i="26"/>
  <c r="B4" i="25"/>
  <c r="B3" i="25"/>
  <c r="B23" i="24"/>
  <c r="B24" i="24"/>
  <c r="B25" i="24"/>
  <c r="B26" i="24"/>
  <c r="B27" i="24"/>
  <c r="B22" i="24"/>
  <c r="B21" i="24"/>
  <c r="B20" i="24"/>
  <c r="B19" i="24"/>
  <c r="B18" i="24"/>
  <c r="B17" i="24"/>
  <c r="B16" i="24"/>
  <c r="B15" i="24"/>
  <c r="B13" i="24"/>
  <c r="B12" i="24"/>
  <c r="B11" i="24"/>
  <c r="B10" i="24"/>
  <c r="B9" i="24"/>
  <c r="B8" i="24"/>
  <c r="B7" i="24"/>
  <c r="B6" i="24"/>
  <c r="B5" i="24"/>
  <c r="B4" i="24"/>
  <c r="B3" i="24"/>
  <c r="B7" i="23"/>
  <c r="B11" i="23"/>
  <c r="B8" i="23"/>
  <c r="B15" i="23"/>
  <c r="B10" i="23"/>
  <c r="B9" i="23"/>
  <c r="B12" i="23"/>
  <c r="B17" i="23"/>
  <c r="B10" i="22"/>
  <c r="B6" i="22"/>
  <c r="B9" i="22"/>
  <c r="B7" i="22"/>
  <c r="B8" i="22"/>
  <c r="B4" i="22"/>
  <c r="B5" i="22"/>
  <c r="B3" i="22"/>
  <c r="B14" i="21"/>
  <c r="B13" i="21"/>
  <c r="B12" i="21"/>
  <c r="B11" i="21"/>
  <c r="B10" i="21"/>
  <c r="B9" i="21"/>
  <c r="B8" i="21"/>
  <c r="B7" i="21"/>
  <c r="B6" i="21"/>
  <c r="B5" i="21"/>
  <c r="B4" i="21"/>
  <c r="B3" i="21"/>
  <c r="B7" i="20"/>
  <c r="B6" i="20"/>
  <c r="B5" i="20"/>
  <c r="B4" i="20"/>
  <c r="B3" i="20"/>
  <c r="B20" i="19"/>
  <c r="B21" i="19"/>
  <c r="B22" i="19"/>
  <c r="B19" i="19"/>
  <c r="B18" i="19"/>
  <c r="B17" i="19"/>
  <c r="B16" i="19"/>
  <c r="B15" i="19"/>
  <c r="B13" i="19"/>
  <c r="B12" i="19"/>
  <c r="B11" i="19"/>
  <c r="B10" i="19"/>
  <c r="B9" i="19"/>
  <c r="B8" i="19"/>
  <c r="B7" i="19"/>
  <c r="B6" i="19"/>
  <c r="B5" i="19"/>
  <c r="B4" i="19"/>
  <c r="B3" i="19"/>
  <c r="E40" i="15"/>
  <c r="F40" i="15"/>
  <c r="H40" i="15"/>
  <c r="B40" i="15"/>
  <c r="E39" i="15"/>
  <c r="F39" i="15"/>
  <c r="H39" i="15"/>
  <c r="B39" i="15"/>
  <c r="H34" i="15"/>
  <c r="H35" i="15"/>
  <c r="H36" i="15"/>
  <c r="H37" i="15"/>
  <c r="H38" i="15"/>
  <c r="H15" i="15"/>
  <c r="H18" i="15"/>
  <c r="H21" i="15"/>
  <c r="H23" i="15"/>
  <c r="H25" i="15"/>
  <c r="H26" i="15"/>
  <c r="H27" i="15"/>
  <c r="H30" i="15"/>
  <c r="H31" i="15"/>
  <c r="H33" i="15"/>
  <c r="B13" i="18"/>
  <c r="B12" i="18"/>
  <c r="B11" i="18"/>
  <c r="B10" i="18"/>
  <c r="B9" i="18"/>
  <c r="B8" i="18"/>
  <c r="B7" i="18"/>
  <c r="B6" i="18"/>
  <c r="B5" i="18"/>
  <c r="B3" i="18"/>
  <c r="B5" i="17"/>
  <c r="B4" i="17"/>
  <c r="B3" i="17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3" i="16"/>
  <c r="B28" i="15"/>
  <c r="B7" i="15"/>
  <c r="B10" i="15"/>
  <c r="B9" i="15"/>
  <c r="B8" i="15"/>
  <c r="B11" i="15"/>
  <c r="B12" i="15"/>
  <c r="B14" i="15"/>
  <c r="B13" i="15"/>
  <c r="B15" i="15"/>
  <c r="B16" i="15"/>
  <c r="B18" i="15"/>
  <c r="B17" i="15"/>
  <c r="B21" i="15"/>
  <c r="B20" i="15"/>
  <c r="B23" i="15"/>
  <c r="B19" i="15"/>
  <c r="B25" i="15"/>
  <c r="B26" i="15"/>
  <c r="B27" i="15"/>
  <c r="B22" i="15"/>
  <c r="B30" i="15"/>
  <c r="B31" i="15"/>
  <c r="B33" i="15"/>
  <c r="B24" i="15"/>
  <c r="B34" i="15"/>
  <c r="B35" i="15"/>
  <c r="B36" i="15"/>
  <c r="B37" i="15"/>
  <c r="B32" i="15"/>
  <c r="B38" i="15"/>
  <c r="B29" i="15"/>
  <c r="B6" i="15"/>
  <c r="F28" i="15"/>
  <c r="F22" i="15"/>
  <c r="F32" i="15"/>
  <c r="F24" i="15"/>
  <c r="B16" i="14"/>
  <c r="B8" i="13"/>
  <c r="B25" i="12"/>
  <c r="B4" i="14"/>
  <c r="B6" i="14"/>
  <c r="B7" i="14"/>
  <c r="B8" i="14"/>
  <c r="B9" i="14"/>
  <c r="B10" i="14"/>
  <c r="B11" i="14"/>
  <c r="B12" i="14"/>
  <c r="B13" i="14"/>
  <c r="B14" i="14"/>
  <c r="B15" i="14"/>
  <c r="B3" i="14"/>
  <c r="G29" i="15"/>
  <c r="F29" i="15"/>
  <c r="E29" i="15"/>
  <c r="G38" i="15"/>
  <c r="F38" i="15"/>
  <c r="E38" i="15"/>
  <c r="G37" i="15"/>
  <c r="F37" i="15"/>
  <c r="G36" i="15"/>
  <c r="F36" i="15"/>
  <c r="E36" i="15"/>
  <c r="F31" i="15"/>
  <c r="G35" i="15"/>
  <c r="F35" i="15"/>
  <c r="E35" i="15"/>
  <c r="G34" i="15"/>
  <c r="F34" i="15"/>
  <c r="F27" i="15"/>
  <c r="G33" i="15"/>
  <c r="F33" i="15"/>
  <c r="F23" i="15"/>
  <c r="G30" i="15"/>
  <c r="F30" i="15"/>
  <c r="G26" i="15"/>
  <c r="F26" i="15"/>
  <c r="G25" i="15"/>
  <c r="F25" i="15"/>
  <c r="D25" i="15"/>
  <c r="F17" i="15"/>
  <c r="D17" i="15"/>
  <c r="F8" i="15"/>
  <c r="G21" i="15"/>
  <c r="G18" i="15"/>
  <c r="F18" i="15"/>
  <c r="B7" i="13"/>
  <c r="B6" i="13"/>
  <c r="B5" i="13"/>
  <c r="B4" i="13"/>
  <c r="B3" i="13"/>
  <c r="B24" i="12"/>
  <c r="B3" i="12"/>
  <c r="B15" i="12"/>
  <c r="B16" i="12"/>
  <c r="B7" i="12"/>
  <c r="B11" i="12"/>
  <c r="B18" i="12"/>
  <c r="B17" i="12"/>
  <c r="B21" i="12"/>
  <c r="B13" i="12"/>
  <c r="B5" i="12"/>
  <c r="B14" i="12"/>
  <c r="B4" i="12"/>
  <c r="B20" i="12"/>
  <c r="B22" i="12"/>
  <c r="B23" i="12"/>
  <c r="B9" i="12"/>
  <c r="B19" i="12"/>
  <c r="B10" i="12"/>
  <c r="B12" i="12"/>
  <c r="B8" i="12"/>
  <c r="B10" i="11"/>
  <c r="B9" i="11"/>
  <c r="B8" i="11"/>
  <c r="B7" i="11"/>
  <c r="B6" i="11"/>
  <c r="B5" i="11"/>
  <c r="B4" i="11"/>
  <c r="B4" i="10"/>
  <c r="B3" i="10"/>
  <c r="B11" i="9"/>
  <c r="B7" i="9"/>
  <c r="B4" i="9"/>
  <c r="B12" i="9"/>
  <c r="B8" i="9"/>
  <c r="B6" i="9"/>
  <c r="B15" i="9"/>
  <c r="B3" i="9"/>
  <c r="B5" i="9"/>
  <c r="B13" i="9"/>
  <c r="B14" i="9"/>
  <c r="B10" i="9"/>
  <c r="B9" i="9"/>
  <c r="B3" i="6"/>
  <c r="G3" i="39" l="1"/>
  <c r="G17" i="39"/>
  <c r="G16" i="39"/>
  <c r="G15" i="39"/>
  <c r="G14" i="39"/>
  <c r="G13" i="39"/>
  <c r="G12" i="39"/>
  <c r="G11" i="39"/>
  <c r="G10" i="39"/>
  <c r="G9" i="39"/>
  <c r="G8" i="39"/>
  <c r="G7" i="39"/>
  <c r="G6" i="39"/>
  <c r="G5" i="39"/>
  <c r="G4" i="39"/>
  <c r="G13" i="38"/>
  <c r="H7" i="23" s="1"/>
  <c r="G12" i="38"/>
  <c r="H10" i="23" s="1"/>
  <c r="G11" i="38"/>
  <c r="H11" i="23" s="1"/>
  <c r="G10" i="38"/>
  <c r="G9" i="38"/>
  <c r="H8" i="23" s="1"/>
  <c r="G8" i="38"/>
  <c r="G7" i="38"/>
  <c r="H12" i="23" s="1"/>
  <c r="G6" i="38"/>
  <c r="G5" i="38"/>
  <c r="H19" i="23" s="1"/>
  <c r="G4" i="38"/>
  <c r="H14" i="23" s="1"/>
  <c r="G3" i="38"/>
  <c r="H9" i="23" s="1"/>
  <c r="G8" i="37"/>
  <c r="G7" i="37"/>
  <c r="G6" i="37"/>
  <c r="G5" i="37"/>
  <c r="G4" i="37"/>
  <c r="G3" i="37"/>
  <c r="G22" i="36"/>
  <c r="G23" i="36"/>
  <c r="G24" i="36"/>
  <c r="G25" i="36"/>
  <c r="G26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9" i="36"/>
  <c r="G8" i="36"/>
  <c r="G7" i="36"/>
  <c r="G6" i="36"/>
  <c r="G5" i="36"/>
  <c r="G4" i="36"/>
  <c r="G3" i="36"/>
  <c r="Q50" i="2" a="1"/>
  <c r="Q50" i="2" s="1"/>
  <c r="Q52" i="2" a="1"/>
  <c r="Q52" i="2" s="1"/>
  <c r="G8" i="35"/>
  <c r="G8" i="23" s="1"/>
  <c r="G6" i="35"/>
  <c r="G9" i="23" s="1"/>
  <c r="G5" i="35"/>
  <c r="G10" i="23" s="1"/>
  <c r="G4" i="35"/>
  <c r="G11" i="23" s="1"/>
  <c r="G3" i="35"/>
  <c r="G12" i="23" s="1"/>
  <c r="G7" i="35"/>
  <c r="G12" i="34"/>
  <c r="G10" i="34"/>
  <c r="G9" i="34"/>
  <c r="G8" i="34"/>
  <c r="G7" i="34"/>
  <c r="G6" i="34"/>
  <c r="G5" i="34"/>
  <c r="G4" i="34"/>
  <c r="G3" i="34"/>
  <c r="G5" i="33"/>
  <c r="G4" i="33"/>
  <c r="G11" i="34"/>
  <c r="G3" i="33"/>
  <c r="G19" i="32"/>
  <c r="G20" i="32"/>
  <c r="G9" i="32"/>
  <c r="G7" i="32"/>
  <c r="G6" i="32"/>
  <c r="G22" i="32"/>
  <c r="G10" i="32"/>
  <c r="G16" i="32"/>
  <c r="G3" i="32"/>
  <c r="G4" i="32"/>
  <c r="G14" i="32"/>
  <c r="G5" i="32"/>
  <c r="G12" i="32"/>
  <c r="G8" i="32"/>
  <c r="G15" i="32"/>
  <c r="G13" i="32"/>
  <c r="G21" i="32"/>
  <c r="G11" i="32"/>
  <c r="G17" i="32"/>
  <c r="G18" i="32"/>
  <c r="G3" i="29"/>
  <c r="G12" i="31"/>
  <c r="G11" i="31"/>
  <c r="G10" i="31"/>
  <c r="G9" i="31"/>
  <c r="G8" i="31"/>
  <c r="G7" i="31"/>
  <c r="G6" i="31"/>
  <c r="G5" i="31"/>
  <c r="G4" i="31"/>
  <c r="G3" i="31"/>
  <c r="G15" i="30"/>
  <c r="G14" i="30"/>
  <c r="G12" i="30"/>
  <c r="G11" i="30"/>
  <c r="G10" i="30"/>
  <c r="G9" i="30"/>
  <c r="G8" i="30"/>
  <c r="G7" i="30"/>
  <c r="G6" i="30"/>
  <c r="G5" i="30"/>
  <c r="G4" i="30"/>
  <c r="G13" i="30"/>
  <c r="G3" i="30"/>
  <c r="G6" i="29"/>
  <c r="G5" i="29"/>
  <c r="G4" i="29"/>
  <c r="G17" i="28"/>
  <c r="G10" i="28"/>
  <c r="G22" i="28"/>
  <c r="G14" i="28"/>
  <c r="G19" i="28"/>
  <c r="G11" i="28"/>
  <c r="G6" i="28"/>
  <c r="G20" i="28"/>
  <c r="G12" i="28"/>
  <c r="G9" i="28"/>
  <c r="G4" i="28"/>
  <c r="G24" i="28"/>
  <c r="G7" i="28"/>
  <c r="G3" i="28"/>
  <c r="G13" i="28"/>
  <c r="G5" i="28"/>
  <c r="G21" i="28"/>
  <c r="G23" i="28"/>
  <c r="G8" i="28"/>
  <c r="G15" i="28"/>
  <c r="G16" i="28"/>
  <c r="G18" i="28"/>
  <c r="N43" i="15" a="1"/>
  <c r="N43" i="15" s="1"/>
  <c r="N44" i="15" a="1"/>
  <c r="N44" i="15" s="1"/>
  <c r="N41" i="15" a="1"/>
  <c r="N41" i="15" s="1"/>
  <c r="N42" i="15" a="1"/>
  <c r="N42" i="15" s="1"/>
  <c r="G3" i="25"/>
  <c r="G9" i="26"/>
  <c r="G10" i="26"/>
  <c r="G11" i="26"/>
  <c r="G12" i="26"/>
  <c r="G13" i="26"/>
  <c r="G14" i="26"/>
  <c r="G15" i="26"/>
  <c r="G16" i="26"/>
  <c r="G18" i="26"/>
  <c r="G6" i="26"/>
  <c r="G7" i="26"/>
  <c r="G4" i="26"/>
  <c r="G5" i="26"/>
  <c r="G8" i="26"/>
  <c r="G17" i="26"/>
  <c r="G3" i="26"/>
  <c r="G19" i="26"/>
  <c r="G12" i="27"/>
  <c r="G16" i="27"/>
  <c r="E10" i="23" s="1"/>
  <c r="G8" i="27"/>
  <c r="E11" i="23" s="1"/>
  <c r="G10" i="27"/>
  <c r="E15" i="23" s="1"/>
  <c r="G6" i="27"/>
  <c r="E16" i="23" s="1"/>
  <c r="G5" i="27"/>
  <c r="E18" i="23" s="1"/>
  <c r="G15" i="27"/>
  <c r="G17" i="27"/>
  <c r="E13" i="23" s="1"/>
  <c r="G9" i="27"/>
  <c r="E12" i="23" s="1"/>
  <c r="G3" i="27"/>
  <c r="E19" i="23" s="1"/>
  <c r="G7" i="27"/>
  <c r="E14" i="23" s="1"/>
  <c r="G11" i="27"/>
  <c r="E9" i="23" s="1"/>
  <c r="G4" i="27"/>
  <c r="E17" i="23" s="1"/>
  <c r="G14" i="27"/>
  <c r="E20" i="23" s="1"/>
  <c r="J20" i="23" s="1" a="1"/>
  <c r="J20" i="23" s="1"/>
  <c r="G13" i="27"/>
  <c r="E21" i="23" s="1"/>
  <c r="J21" i="23" s="1" a="1"/>
  <c r="J21" i="23" s="1"/>
  <c r="G4" i="25"/>
  <c r="G24" i="24"/>
  <c r="G25" i="24"/>
  <c r="G27" i="24"/>
  <c r="G23" i="24"/>
  <c r="G26" i="24"/>
  <c r="G22" i="24"/>
  <c r="G21" i="24"/>
  <c r="G20" i="24"/>
  <c r="G19" i="24"/>
  <c r="G18" i="24"/>
  <c r="G17" i="24"/>
  <c r="G16" i="24"/>
  <c r="G15" i="24"/>
  <c r="G13" i="24"/>
  <c r="G12" i="24"/>
  <c r="G11" i="24"/>
  <c r="G10" i="24"/>
  <c r="G9" i="24"/>
  <c r="G8" i="24"/>
  <c r="G7" i="24"/>
  <c r="G6" i="24"/>
  <c r="G5" i="24"/>
  <c r="G4" i="24"/>
  <c r="G14" i="24"/>
  <c r="G3" i="24"/>
  <c r="G3" i="21"/>
  <c r="G10" i="22"/>
  <c r="D7" i="23" s="1"/>
  <c r="G6" i="22"/>
  <c r="D10" i="23" s="1"/>
  <c r="G9" i="22"/>
  <c r="D11" i="23" s="1"/>
  <c r="G7" i="22"/>
  <c r="D15" i="23" s="1"/>
  <c r="G8" i="22"/>
  <c r="D8" i="23" s="1"/>
  <c r="G4" i="22"/>
  <c r="D12" i="23" s="1"/>
  <c r="G5" i="22"/>
  <c r="D9" i="23" s="1"/>
  <c r="G3" i="22"/>
  <c r="D17" i="23" s="1"/>
  <c r="G3" i="19"/>
  <c r="G11" i="21"/>
  <c r="G10" i="21"/>
  <c r="G7" i="21"/>
  <c r="G13" i="21"/>
  <c r="G14" i="21"/>
  <c r="G9" i="21"/>
  <c r="G8" i="21"/>
  <c r="G6" i="21"/>
  <c r="G5" i="21"/>
  <c r="G4" i="21"/>
  <c r="G12" i="21"/>
  <c r="G7" i="20"/>
  <c r="G6" i="20"/>
  <c r="G5" i="20"/>
  <c r="G4" i="20"/>
  <c r="G3" i="20"/>
  <c r="G20" i="19"/>
  <c r="G21" i="19"/>
  <c r="G22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8"/>
  <c r="G3" i="16"/>
  <c r="G13" i="18"/>
  <c r="G12" i="18"/>
  <c r="G11" i="18"/>
  <c r="G10" i="18"/>
  <c r="G9" i="18"/>
  <c r="G8" i="18"/>
  <c r="G7" i="18"/>
  <c r="G6" i="18"/>
  <c r="G5" i="18"/>
  <c r="G4" i="18"/>
  <c r="G5" i="17"/>
  <c r="G4" i="17"/>
  <c r="G3" i="17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N38" i="15" a="1"/>
  <c r="N38" i="15" s="1"/>
  <c r="N36" i="15" a="1"/>
  <c r="N36" i="15" s="1"/>
  <c r="G16" i="14"/>
  <c r="G8" i="13"/>
  <c r="G25" i="12"/>
  <c r="N35" i="15" a="1"/>
  <c r="N35" i="15" s="1"/>
  <c r="G5" i="14"/>
  <c r="G15" i="14"/>
  <c r="G14" i="14"/>
  <c r="G13" i="14"/>
  <c r="G12" i="14"/>
  <c r="G11" i="14"/>
  <c r="G10" i="14"/>
  <c r="G9" i="14"/>
  <c r="G8" i="14"/>
  <c r="G7" i="14"/>
  <c r="G6" i="14"/>
  <c r="G4" i="14"/>
  <c r="G3" i="14"/>
  <c r="G7" i="13"/>
  <c r="G6" i="13"/>
  <c r="G5" i="13"/>
  <c r="G4" i="13"/>
  <c r="G3" i="13"/>
  <c r="G24" i="12"/>
  <c r="G3" i="12"/>
  <c r="G15" i="12"/>
  <c r="G16" i="12"/>
  <c r="G7" i="12"/>
  <c r="G11" i="12"/>
  <c r="G18" i="12"/>
  <c r="G6" i="12"/>
  <c r="G17" i="12"/>
  <c r="G21" i="12"/>
  <c r="G13" i="12"/>
  <c r="G5" i="12"/>
  <c r="G14" i="12"/>
  <c r="G4" i="12"/>
  <c r="G20" i="12"/>
  <c r="G39" i="15" s="1"/>
  <c r="N39" i="15" s="1" a="1"/>
  <c r="N39" i="15" s="1"/>
  <c r="G22" i="12"/>
  <c r="G23" i="12"/>
  <c r="G9" i="12"/>
  <c r="G19" i="12"/>
  <c r="G10" i="12"/>
  <c r="G12" i="12"/>
  <c r="G8" i="12"/>
  <c r="G9" i="9"/>
  <c r="G10" i="11"/>
  <c r="G9" i="11"/>
  <c r="G8" i="11"/>
  <c r="G7" i="11"/>
  <c r="G6" i="11"/>
  <c r="G5" i="11"/>
  <c r="G4" i="11"/>
  <c r="G3" i="11"/>
  <c r="G4" i="10"/>
  <c r="G3" i="10"/>
  <c r="G7" i="9"/>
  <c r="G10" i="9"/>
  <c r="G11" i="9"/>
  <c r="G12" i="9"/>
  <c r="G4" i="9"/>
  <c r="G15" i="9"/>
  <c r="G3" i="9"/>
  <c r="G14" i="9"/>
  <c r="G6" i="9"/>
  <c r="G5" i="9"/>
  <c r="G8" i="9"/>
  <c r="G13" i="9"/>
  <c r="G17" i="6"/>
  <c r="E28" i="2" s="1"/>
  <c r="G9" i="6"/>
  <c r="E15" i="2" s="1"/>
  <c r="P15" i="2" s="1" a="1"/>
  <c r="P15" i="2" s="1"/>
  <c r="G16" i="6"/>
  <c r="E19" i="2" s="1"/>
  <c r="P19" i="2" s="1" a="1"/>
  <c r="P19" i="2" s="1"/>
  <c r="G24" i="6"/>
  <c r="G11" i="6"/>
  <c r="G6" i="6"/>
  <c r="E7" i="2" s="1"/>
  <c r="P7" i="2" s="1" a="1"/>
  <c r="P7" i="2" s="1"/>
  <c r="G21" i="6"/>
  <c r="E30" i="2" s="1"/>
  <c r="G22" i="6"/>
  <c r="E31" i="2" s="1"/>
  <c r="P31" i="2" s="1" a="1"/>
  <c r="P31" i="2" s="1"/>
  <c r="G18" i="6"/>
  <c r="E27" i="2" s="1"/>
  <c r="P27" i="2" s="1" a="1"/>
  <c r="P27" i="2" s="1"/>
  <c r="G5" i="6"/>
  <c r="E9" i="2" s="1"/>
  <c r="P9" i="2" s="1" a="1"/>
  <c r="P9" i="2" s="1"/>
  <c r="G3" i="6"/>
  <c r="E6" i="2" s="1"/>
  <c r="P6" i="2" s="1" a="1"/>
  <c r="P6" i="2" s="1"/>
  <c r="G4" i="6"/>
  <c r="E18" i="2" s="1"/>
  <c r="P18" i="2" s="1" a="1"/>
  <c r="P18" i="2" s="1"/>
  <c r="G10" i="6"/>
  <c r="E10" i="2" s="1"/>
  <c r="P10" i="2" s="1" a="1"/>
  <c r="P10" i="2" s="1"/>
  <c r="G20" i="6"/>
  <c r="G7" i="6"/>
  <c r="E8" i="2" s="1"/>
  <c r="P8" i="2" s="1" a="1"/>
  <c r="P8" i="2" s="1"/>
  <c r="G12" i="6"/>
  <c r="E16" i="2" s="1"/>
  <c r="P16" i="2" s="1" a="1"/>
  <c r="P16" i="2" s="1"/>
  <c r="G13" i="6"/>
  <c r="E13" i="2" s="1"/>
  <c r="P13" i="2" s="1" a="1"/>
  <c r="P13" i="2" s="1"/>
  <c r="G23" i="6"/>
  <c r="E24" i="2" s="1"/>
  <c r="G15" i="6"/>
  <c r="E26" i="2" s="1"/>
  <c r="P26" i="2" s="1" a="1"/>
  <c r="P26" i="2" s="1"/>
  <c r="G8" i="6"/>
  <c r="E11" i="2" s="1"/>
  <c r="P11" i="2" s="1" a="1"/>
  <c r="P11" i="2" s="1"/>
  <c r="G19" i="6"/>
  <c r="E20" i="2" s="1"/>
  <c r="P20" i="2" s="1" a="1"/>
  <c r="P20" i="2" s="1"/>
  <c r="G14" i="6"/>
  <c r="E12" i="2" s="1"/>
  <c r="P12" i="2" s="1" a="1"/>
  <c r="P12" i="2" s="1"/>
  <c r="Q30" i="2" l="1" a="1"/>
  <c r="Q30" i="2" s="1"/>
  <c r="P30" i="2" a="1"/>
  <c r="P30" i="2" s="1"/>
  <c r="P28" i="2" a="1"/>
  <c r="P28" i="2" s="1"/>
  <c r="Q28" i="2" a="1"/>
  <c r="Q28" i="2" s="1"/>
  <c r="E24" i="15"/>
  <c r="E14" i="2"/>
  <c r="P14" i="2" s="1" a="1"/>
  <c r="P14" i="2" s="1"/>
  <c r="E45" i="15"/>
  <c r="N45" i="15" s="1" a="1"/>
  <c r="N45" i="15" s="1"/>
  <c r="E23" i="2"/>
  <c r="P23" i="2" s="1" a="1"/>
  <c r="P23" i="2" s="1"/>
  <c r="E19" i="15"/>
  <c r="E17" i="2"/>
  <c r="P17" i="2" s="1" a="1"/>
  <c r="P17" i="2" s="1"/>
  <c r="Q24" i="2" a="1"/>
  <c r="Q24" i="2" s="1"/>
  <c r="P24" i="2" a="1"/>
  <c r="P24" i="2" s="1"/>
  <c r="D28" i="15"/>
  <c r="E28" i="15"/>
  <c r="D32" i="15"/>
  <c r="E32" i="15"/>
  <c r="D22" i="15"/>
  <c r="E22" i="15"/>
  <c r="Q46" i="2" a="1"/>
  <c r="Q46" i="2" s="1"/>
  <c r="Q47" i="2" a="1"/>
  <c r="Q47" i="2" s="1"/>
  <c r="Q39" i="2" a="1"/>
  <c r="Q39" i="2" s="1"/>
  <c r="Q51" i="2" a="1"/>
  <c r="Q51" i="2" s="1"/>
  <c r="Q49" i="2" a="1"/>
  <c r="Q49" i="2" s="1"/>
  <c r="Q42" i="2" a="1"/>
  <c r="Q42" i="2" s="1"/>
  <c r="Q22" i="2" a="1"/>
  <c r="Q22" i="2" s="1"/>
  <c r="J19" i="23" a="1"/>
  <c r="J19" i="23" s="1"/>
  <c r="G7" i="23"/>
  <c r="Q25" i="2" a="1"/>
  <c r="Q25" i="2" s="1"/>
  <c r="Q40" i="2" a="1"/>
  <c r="Q40" i="2" s="1"/>
  <c r="Q35" i="2" a="1"/>
  <c r="Q35" i="2" s="1"/>
  <c r="Q26" i="2" a="1"/>
  <c r="Q26" i="2" s="1"/>
  <c r="Q31" i="2" a="1"/>
  <c r="Q31" i="2" s="1"/>
  <c r="J15" i="23" a="1"/>
  <c r="J15" i="23" s="1"/>
  <c r="J17" i="23" a="1"/>
  <c r="J17" i="23" s="1"/>
  <c r="Q43" i="2" a="1"/>
  <c r="Q43" i="2" s="1"/>
  <c r="Q37" i="2" a="1"/>
  <c r="Q37" i="2" s="1"/>
  <c r="Q36" i="2" a="1"/>
  <c r="Q36" i="2" s="1"/>
  <c r="Q41" i="2" a="1"/>
  <c r="Q41" i="2" s="1"/>
  <c r="Q27" i="2" a="1"/>
  <c r="Q27" i="2" s="1"/>
  <c r="Q13" i="2" a="1"/>
  <c r="Q13" i="2" s="1"/>
  <c r="Q7" i="2" a="1"/>
  <c r="Q7" i="2" s="1"/>
  <c r="Q12" i="2" a="1"/>
  <c r="Q12" i="2" s="1"/>
  <c r="Q34" i="2" a="1"/>
  <c r="Q34" i="2" s="1"/>
  <c r="Q33" i="2" a="1"/>
  <c r="Q33" i="2" s="1"/>
  <c r="Q10" i="2" a="1"/>
  <c r="Q10" i="2" s="1"/>
  <c r="Q18" i="2" a="1"/>
  <c r="Q18" i="2" s="1"/>
  <c r="Q19" i="2" a="1"/>
  <c r="Q19" i="2" s="1"/>
  <c r="Q11" i="2" a="1"/>
  <c r="Q11" i="2" s="1"/>
  <c r="Q29" i="2" a="1"/>
  <c r="Q29" i="2" s="1"/>
  <c r="Q38" i="2" a="1"/>
  <c r="Q38" i="2" s="1"/>
  <c r="Q16" i="2" a="1"/>
  <c r="Q16" i="2" s="1"/>
  <c r="Q21" i="2" a="1"/>
  <c r="Q21" i="2" s="1"/>
  <c r="Q8" i="2" a="1"/>
  <c r="Q8" i="2" s="1"/>
  <c r="Q9" i="2" a="1"/>
  <c r="Q9" i="2" s="1"/>
  <c r="Q20" i="2" a="1"/>
  <c r="Q20" i="2" s="1"/>
  <c r="I19" i="23" a="1"/>
  <c r="I19" i="23" s="1"/>
  <c r="I20" i="23" a="1"/>
  <c r="I20" i="23" s="1"/>
  <c r="I21" i="23" a="1"/>
  <c r="I21" i="23" s="1"/>
  <c r="I15" i="23" a="1"/>
  <c r="I15" i="23" s="1"/>
  <c r="I17" i="23" a="1"/>
  <c r="I17" i="23" s="1"/>
  <c r="F13" i="23"/>
  <c r="J13" i="23" s="1" a="1"/>
  <c r="J13" i="23" s="1"/>
  <c r="F9" i="23"/>
  <c r="J9" i="23" s="1" a="1"/>
  <c r="J9" i="23" s="1"/>
  <c r="F10" i="23"/>
  <c r="J10" i="23" s="1" a="1"/>
  <c r="J10" i="23" s="1"/>
  <c r="F11" i="23"/>
  <c r="J11" i="23" s="1" a="1"/>
  <c r="J11" i="23" s="1"/>
  <c r="F14" i="23"/>
  <c r="J14" i="23" s="1" a="1"/>
  <c r="J14" i="23" s="1"/>
  <c r="F12" i="23"/>
  <c r="J12" i="23" s="1" a="1"/>
  <c r="J12" i="23" s="1"/>
  <c r="F16" i="23"/>
  <c r="J16" i="23" s="1" a="1"/>
  <c r="J16" i="23" s="1"/>
  <c r="F18" i="23"/>
  <c r="J18" i="23" s="1" a="1"/>
  <c r="J18" i="23" s="1"/>
  <c r="F7" i="23"/>
  <c r="E8" i="23"/>
  <c r="J8" i="23" s="1" a="1"/>
  <c r="J8" i="23" s="1"/>
  <c r="E7" i="23"/>
  <c r="G40" i="15"/>
  <c r="N40" i="15" s="1" a="1"/>
  <c r="N40" i="15" s="1"/>
  <c r="H12" i="15"/>
  <c r="H8" i="15"/>
  <c r="H14" i="15"/>
  <c r="H10" i="15"/>
  <c r="H17" i="15"/>
  <c r="H19" i="15"/>
  <c r="H11" i="15"/>
  <c r="H24" i="15"/>
  <c r="H9" i="15"/>
  <c r="H13" i="15"/>
  <c r="H29" i="15"/>
  <c r="N29" i="15" s="1" a="1"/>
  <c r="N29" i="15" s="1"/>
  <c r="H32" i="15"/>
  <c r="H28" i="15"/>
  <c r="H7" i="15"/>
  <c r="H20" i="15"/>
  <c r="H22" i="15"/>
  <c r="H16" i="15"/>
  <c r="H6" i="15"/>
  <c r="G28" i="15"/>
  <c r="G24" i="15"/>
  <c r="F12" i="15"/>
  <c r="F14" i="15"/>
  <c r="F16" i="15"/>
  <c r="F15" i="15"/>
  <c r="F19" i="15"/>
  <c r="F10" i="15"/>
  <c r="F13" i="15"/>
  <c r="F6" i="15"/>
  <c r="F21" i="15"/>
  <c r="F9" i="15"/>
  <c r="F7" i="15"/>
  <c r="F11" i="15"/>
  <c r="F20" i="15"/>
  <c r="E7" i="15"/>
  <c r="G22" i="15"/>
  <c r="G32" i="15"/>
  <c r="G31" i="15"/>
  <c r="G8" i="15"/>
  <c r="G15" i="15"/>
  <c r="G14" i="15"/>
  <c r="G10" i="15"/>
  <c r="G17" i="15"/>
  <c r="G19" i="15"/>
  <c r="G11" i="15"/>
  <c r="G23" i="15"/>
  <c r="G27" i="15"/>
  <c r="G9" i="15"/>
  <c r="G13" i="15"/>
  <c r="G6" i="15"/>
  <c r="G7" i="15"/>
  <c r="G20" i="15"/>
  <c r="G16" i="15"/>
  <c r="G12" i="15"/>
  <c r="E12" i="15"/>
  <c r="E18" i="15"/>
  <c r="N18" i="15" s="1" a="1"/>
  <c r="N18" i="15" s="1"/>
  <c r="E14" i="15"/>
  <c r="E8" i="15"/>
  <c r="E15" i="15"/>
  <c r="E37" i="15"/>
  <c r="N37" i="15" s="1" a="1"/>
  <c r="N37" i="15" s="1"/>
  <c r="E10" i="15"/>
  <c r="E33" i="15"/>
  <c r="N33" i="15" s="1" a="1"/>
  <c r="N33" i="15" s="1"/>
  <c r="E17" i="15"/>
  <c r="E11" i="15"/>
  <c r="E23" i="15"/>
  <c r="E27" i="15"/>
  <c r="E31" i="15"/>
  <c r="E9" i="15"/>
  <c r="E13" i="15"/>
  <c r="E6" i="15"/>
  <c r="E30" i="15"/>
  <c r="N30" i="15" s="1" a="1"/>
  <c r="N30" i="15" s="1"/>
  <c r="E25" i="15"/>
  <c r="N25" i="15" s="1" a="1"/>
  <c r="N25" i="15" s="1"/>
  <c r="E20" i="15"/>
  <c r="E21" i="15"/>
  <c r="E26" i="15"/>
  <c r="N26" i="15" s="1" a="1"/>
  <c r="N26" i="15" s="1"/>
  <c r="E34" i="15"/>
  <c r="N34" i="15" s="1" a="1"/>
  <c r="N34" i="15" s="1"/>
  <c r="E16" i="15"/>
  <c r="Q14" i="2" l="1" a="1"/>
  <c r="Q14" i="2" s="1"/>
  <c r="Q23" i="2" a="1"/>
  <c r="Q23" i="2" s="1"/>
  <c r="Q17" i="2" a="1"/>
  <c r="Q17" i="2" s="1"/>
  <c r="Q48" i="2" a="1"/>
  <c r="Q48" i="2" s="1"/>
  <c r="Q15" i="2" a="1"/>
  <c r="Q15" i="2" s="1"/>
  <c r="Q6" i="2" a="1"/>
  <c r="Q6" i="2" s="1"/>
  <c r="Q32" i="2" a="1"/>
  <c r="Q32" i="2" s="1"/>
  <c r="Q45" i="2" a="1"/>
  <c r="Q45" i="2" s="1"/>
  <c r="Q44" i="2" a="1"/>
  <c r="Q44" i="2" s="1"/>
  <c r="J7" i="23" a="1"/>
  <c r="J7" i="23" s="1"/>
  <c r="I7" i="23" a="1"/>
  <c r="I7" i="23" s="1"/>
  <c r="I13" i="23" a="1"/>
  <c r="I13" i="23" s="1"/>
  <c r="I9" i="23" a="1"/>
  <c r="I9" i="23" s="1"/>
  <c r="I10" i="23" a="1"/>
  <c r="I10" i="23" s="1"/>
  <c r="I11" i="23" a="1"/>
  <c r="I11" i="23" s="1"/>
  <c r="I14" i="23" a="1"/>
  <c r="I14" i="23" s="1"/>
  <c r="I12" i="23" a="1"/>
  <c r="I12" i="23" s="1"/>
  <c r="I16" i="23" a="1"/>
  <c r="I16" i="23" s="1"/>
  <c r="I18" i="23" a="1"/>
  <c r="I18" i="23" s="1"/>
  <c r="I8" i="23" a="1"/>
  <c r="I8" i="23" s="1"/>
  <c r="N28" i="15" a="1"/>
  <c r="N28" i="15" s="1"/>
  <c r="N24" i="15" a="1"/>
  <c r="N24" i="15" s="1"/>
  <c r="N22" i="15" a="1"/>
  <c r="N22" i="15" s="1"/>
  <c r="N32" i="15" a="1"/>
  <c r="N32" i="15" s="1"/>
  <c r="N19" i="15" a="1"/>
  <c r="N19" i="15" s="1"/>
  <c r="N7" i="15" a="1"/>
  <c r="N7" i="15" s="1"/>
  <c r="N21" i="15" a="1"/>
  <c r="N21" i="15" s="1"/>
  <c r="N31" i="15" a="1"/>
  <c r="N31" i="15" s="1"/>
  <c r="N12" i="15" a="1"/>
  <c r="N12" i="15" s="1"/>
  <c r="N16" i="15" a="1"/>
  <c r="N16" i="15" s="1"/>
  <c r="N11" i="15" a="1"/>
  <c r="N11" i="15" s="1"/>
  <c r="N14" i="15" a="1"/>
  <c r="N14" i="15" s="1"/>
  <c r="N8" i="15" a="1"/>
  <c r="N8" i="15" s="1"/>
  <c r="N15" i="15" a="1"/>
  <c r="N15" i="15" s="1"/>
  <c r="N10" i="15" a="1"/>
  <c r="N10" i="15" s="1"/>
  <c r="N17" i="15" a="1"/>
  <c r="N17" i="15" s="1"/>
  <c r="N13" i="15" a="1"/>
  <c r="N13" i="15" s="1"/>
  <c r="N23" i="15" a="1"/>
  <c r="N23" i="15" s="1"/>
  <c r="N27" i="15" a="1"/>
  <c r="N27" i="15" s="1"/>
  <c r="N9" i="15" a="1"/>
  <c r="N9" i="15" s="1"/>
  <c r="N6" i="15" a="1"/>
  <c r="N6" i="15" s="1"/>
  <c r="N20" i="15" a="1"/>
  <c r="N20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<sst xmlns="http://schemas.openxmlformats.org/spreadsheetml/2006/main" count="1810" uniqueCount="157">
  <si>
    <t>FOOTGOLFER NICKNAME</t>
  </si>
  <si>
    <t>CATEGORÍA INSCRITA</t>
  </si>
  <si>
    <t>FOOTGOLFER NOMBRE_COMPLETO</t>
  </si>
  <si>
    <t>TPAR</t>
  </si>
  <si>
    <t>Caballeros</t>
  </si>
  <si>
    <t>adria alonso marti</t>
  </si>
  <si>
    <t>A. Arrebola</t>
  </si>
  <si>
    <t>Albert Arrebola Sans</t>
  </si>
  <si>
    <t>A. Leiva</t>
  </si>
  <si>
    <t>Alberto Leiva cañada</t>
  </si>
  <si>
    <t>A. Salazar</t>
  </si>
  <si>
    <t>Alberto Salazar Fernández</t>
  </si>
  <si>
    <t>A. Trallero</t>
  </si>
  <si>
    <t>Alex Trallero Domec</t>
  </si>
  <si>
    <t>B. Reyes</t>
  </si>
  <si>
    <t>benito reyes gonzalez</t>
  </si>
  <si>
    <t>David Gallego</t>
  </si>
  <si>
    <t>D. Linares</t>
  </si>
  <si>
    <t>Senior 45 +</t>
  </si>
  <si>
    <t>David Linares Ramos</t>
  </si>
  <si>
    <t>Eduardo Martin Rodriguez</t>
  </si>
  <si>
    <t>F. Martínez2107</t>
  </si>
  <si>
    <t>Fernando Martínez Guillamón</t>
  </si>
  <si>
    <t>guillermo Beroy Álvarez</t>
  </si>
  <si>
    <t>G. Bonacini</t>
  </si>
  <si>
    <t>Giacomo Bonacini</t>
  </si>
  <si>
    <t>J. Perez</t>
  </si>
  <si>
    <t>JuanRa Perez</t>
  </si>
  <si>
    <t>J. Pizarro</t>
  </si>
  <si>
    <t>Jesús Pizarro Gonzálvez</t>
  </si>
  <si>
    <t>J. Santiago</t>
  </si>
  <si>
    <t>Jorge Santiago Buqueras</t>
  </si>
  <si>
    <t>J. Torre</t>
  </si>
  <si>
    <t>Joan Torre Rodríguez</t>
  </si>
  <si>
    <t>M. Arrebola</t>
  </si>
  <si>
    <t>Marc Arrebola Sans</t>
  </si>
  <si>
    <t>N. Perra</t>
  </si>
  <si>
    <t>Nicola Perra</t>
  </si>
  <si>
    <t>Olivier TRESSENS</t>
  </si>
  <si>
    <t>Pau Blas Molina</t>
  </si>
  <si>
    <t>R. Linares</t>
  </si>
  <si>
    <t>S. Nerin</t>
  </si>
  <si>
    <t>Sergi Nerin Velasco</t>
  </si>
  <si>
    <t>Puesto</t>
  </si>
  <si>
    <t>Etapa 250</t>
  </si>
  <si>
    <t>Etapa 500</t>
  </si>
  <si>
    <t>Parejas</t>
  </si>
  <si>
    <t>Puntos</t>
  </si>
  <si>
    <t>Posicion</t>
  </si>
  <si>
    <t>Etapa 1</t>
  </si>
  <si>
    <t>RANKING ROOKIE</t>
  </si>
  <si>
    <t>RANKING SENIOR</t>
  </si>
  <si>
    <t>cristian debon viñas</t>
  </si>
  <si>
    <t>Chema🐗🐗 Martínez Guillamon</t>
  </si>
  <si>
    <t>G. Moya</t>
  </si>
  <si>
    <t>Guillem Moya Niubó</t>
  </si>
  <si>
    <t>O. Tressens</t>
  </si>
  <si>
    <t>Olivier Tressens</t>
  </si>
  <si>
    <t>Raúl Linares Ramos</t>
  </si>
  <si>
    <t>S. Perez</t>
  </si>
  <si>
    <t>Sergi Perez Vilar</t>
  </si>
  <si>
    <t>Xavier Altimira Gómez</t>
  </si>
  <si>
    <t>X. Leiva</t>
  </si>
  <si>
    <t>Xavi Leiva Cañada</t>
  </si>
  <si>
    <t>Etapa 2</t>
  </si>
  <si>
    <t>Etapa 3</t>
  </si>
  <si>
    <t>Etapa 4</t>
  </si>
  <si>
    <t>Etapa 5</t>
  </si>
  <si>
    <t>Etapa 6</t>
  </si>
  <si>
    <t>Etapa 7</t>
  </si>
  <si>
    <t>Etapa 8</t>
  </si>
  <si>
    <t>Etapa 9</t>
  </si>
  <si>
    <t>Etapa 10</t>
  </si>
  <si>
    <t>Total</t>
  </si>
  <si>
    <t>C. Guillamon</t>
  </si>
  <si>
    <t>D. Tellez</t>
  </si>
  <si>
    <t>David Tellez Viana</t>
  </si>
  <si>
    <t>E. MartinRdz</t>
  </si>
  <si>
    <t>A. Martínez2927</t>
  </si>
  <si>
    <t>Aleix Martínez Muñoz</t>
  </si>
  <si>
    <t>F. Guillamón</t>
  </si>
  <si>
    <t>I. Luengo</t>
  </si>
  <si>
    <t>ivan luengo robles</t>
  </si>
  <si>
    <t>L. Casas</t>
  </si>
  <si>
    <t>Leandro Ezequiel Casas Di Lorenzo</t>
  </si>
  <si>
    <t>M. Company</t>
  </si>
  <si>
    <t>Marc Company Salvat</t>
  </si>
  <si>
    <t>M. Morón</t>
  </si>
  <si>
    <t>Mario Morón Sancho</t>
  </si>
  <si>
    <t>S. Pahisa</t>
  </si>
  <si>
    <t>Sergi Pahisa</t>
  </si>
  <si>
    <t>SEMILLERO LIGA PLATA</t>
  </si>
  <si>
    <t>Maximos puntos posibles</t>
  </si>
  <si>
    <t>D. Abril</t>
  </si>
  <si>
    <t>Daniel Abril Amador</t>
  </si>
  <si>
    <t>RANKING PLATA</t>
  </si>
  <si>
    <t>A. Martin3516</t>
  </si>
  <si>
    <t>Aitor Martin Maldonado</t>
  </si>
  <si>
    <t>Benito Reyes Gonzalez</t>
  </si>
  <si>
    <t>D. Cortés</t>
  </si>
  <si>
    <t>David Cortés Segura</t>
  </si>
  <si>
    <t>D. Rojo</t>
  </si>
  <si>
    <t>David Rojo Dengra</t>
  </si>
  <si>
    <t>G. Masuck</t>
  </si>
  <si>
    <t>Gastón Masuck Cardozo</t>
  </si>
  <si>
    <t>J. Medina3526</t>
  </si>
  <si>
    <t>Juan Medina</t>
  </si>
  <si>
    <t>G. Verse</t>
  </si>
  <si>
    <t>Senior 55 +</t>
  </si>
  <si>
    <t>Gustavo Verse</t>
  </si>
  <si>
    <t>Suma de TPAR</t>
  </si>
  <si>
    <t>J. Cid</t>
  </si>
  <si>
    <t>Jack Cid</t>
  </si>
  <si>
    <t>J. Cid3726</t>
  </si>
  <si>
    <t>Jack Cid Barberá</t>
  </si>
  <si>
    <t>L. Bernuz</t>
  </si>
  <si>
    <t>Lucía Bernuz Culebras</t>
  </si>
  <si>
    <t>Damas</t>
  </si>
  <si>
    <t>Maxima puntuacion posible</t>
  </si>
  <si>
    <t>Primero</t>
  </si>
  <si>
    <t>jorge</t>
  </si>
  <si>
    <t>Segundo</t>
  </si>
  <si>
    <t>Chema</t>
  </si>
  <si>
    <t xml:space="preserve">Tercero </t>
  </si>
  <si>
    <t>JuanRa</t>
  </si>
  <si>
    <t>Ivan</t>
  </si>
  <si>
    <t>Pahia</t>
  </si>
  <si>
    <t>Morion</t>
  </si>
  <si>
    <t>Marc</t>
  </si>
  <si>
    <t>Tercero</t>
  </si>
  <si>
    <t>Daniel Abril</t>
  </si>
  <si>
    <t>Pahisa</t>
  </si>
  <si>
    <t>Ivan Luengo</t>
  </si>
  <si>
    <t>J. Recio</t>
  </si>
  <si>
    <t>Javi recio Martín</t>
  </si>
  <si>
    <t>Etapa 11</t>
  </si>
  <si>
    <t>Etapa 12</t>
  </si>
  <si>
    <t>L. Rubinacci</t>
  </si>
  <si>
    <t>Luca Rubinacci</t>
  </si>
  <si>
    <t>RANKING MASCULINO</t>
  </si>
  <si>
    <t>Chema Martínez Guillamon</t>
  </si>
  <si>
    <t>E. Mata3954</t>
  </si>
  <si>
    <t>J. Ortega</t>
  </si>
  <si>
    <t>Erik Mata</t>
  </si>
  <si>
    <t>Jordi Ortega López</t>
  </si>
  <si>
    <t>2024 Clausura</t>
  </si>
  <si>
    <t>2024 Apertura</t>
  </si>
  <si>
    <t>Alberto Salazar</t>
  </si>
  <si>
    <t>Jorge Santiago</t>
  </si>
  <si>
    <t>Chema Martínez</t>
  </si>
  <si>
    <t>Juan Ramon Perez</t>
  </si>
  <si>
    <t>2020 apertura</t>
  </si>
  <si>
    <t>2020 clausura</t>
  </si>
  <si>
    <t>2021 Apertura</t>
  </si>
  <si>
    <t>Liga</t>
  </si>
  <si>
    <t>Copa</t>
  </si>
  <si>
    <t>2021 Clausura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</si>
</sst>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0"/>
      <name val="Aptos Narrow"/>
      <family val="2"/>
    </font>
    <font>
      <b/>
      <sz val="22"/>
      <color theme="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8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0" applyFont="1"/>
    <xf numFmtId="0" fontId="0" fillId="3" borderId="0" xfId="0" applyFill="1"/>
    <xf numFmtId="2" fontId="0" fillId="0" borderId="0" xfId="0" applyNumberFormat="1"/>
    <xf numFmtId="0" fontId="5" fillId="0" borderId="0" xfId="1" applyFont="1" applyAlignment="1">
      <alignment horizontal="center"/>
    </xf>
    <xf numFmtId="43" fontId="5" fillId="0" borderId="0" xfId="2" applyFont="1" applyAlignment="1">
      <alignment horizontal="center"/>
    </xf>
    <xf numFmtId="0" fontId="5" fillId="4" borderId="0" xfId="1" applyFont="1" applyFill="1" applyAlignment="1">
      <alignment horizontal="center"/>
    </xf>
    <xf numFmtId="2" fontId="5" fillId="4" borderId="0" xfId="1" applyNumberFormat="1" applyFont="1" applyFill="1" applyAlignment="1">
      <alignment horizontal="center"/>
    </xf>
    <xf numFmtId="2" fontId="5" fillId="0" borderId="0" xfId="1" applyNumberFormat="1" applyFont="1" applyAlignment="1">
      <alignment horizontal="center"/>
    </xf>
    <xf numFmtId="0" fontId="0" fillId="5" borderId="0" xfId="0" applyFill="1"/>
    <xf numFmtId="43" fontId="5" fillId="0" borderId="0" xfId="2" applyFont="1" applyFill="1" applyAlignment="1">
      <alignment horizontal="center"/>
    </xf>
    <xf numFmtId="0" fontId="5" fillId="6" borderId="0" xfId="1" applyFont="1" applyFill="1" applyAlignment="1">
      <alignment horizontal="center"/>
    </xf>
    <xf numFmtId="0" fontId="5" fillId="7" borderId="0" xfId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5" fillId="0" borderId="0" xfId="1" applyFont="1" applyFill="1" applyAlignment="1">
      <alignment horizontal="center"/>
    </xf>
    <xf numFmtId="43" fontId="5" fillId="0" borderId="0" xfId="2" applyNumberFormat="1" applyFont="1" applyAlignment="1">
      <alignment horizontal="center"/>
    </xf>
    <xf numFmtId="0" fontId="5" fillId="0" borderId="0" xfId="1" applyNumberFormat="1" applyFont="1" applyFill="1" applyAlignment="1">
      <alignment horizontal="center"/>
    </xf>
  </cellXfs>
  <cellStyles count="3">
    <cellStyle name="Millares" xfId="2" builtinId="3"/>
    <cellStyle name="Normal" xfId="0" builtinId="0"/>
    <cellStyle name="Normal 2" xfId="1" xr:uid="{03A970E9-0EB9-4AD9-B6C8-027F5FB696CB}"/>
  </cellStyles>
  <dxfs count="84">
    <dxf>
      <font>
        <strike/>
        <color theme="0"/>
      </font>
      <fill>
        <patternFill>
          <bgColor theme="3" tint="-0.499984740745262"/>
        </patternFill>
      </fill>
    </dxf>
    <dxf>
      <font>
        <strike/>
        <color theme="0"/>
      </font>
      <fill>
        <patternFill>
          <bgColor theme="3" tint="-0.499984740745262"/>
        </patternFill>
      </fill>
    </dxf>
    <dxf>
      <font>
        <strike/>
        <color theme="0"/>
      </font>
      <fill>
        <patternFill>
          <bgColor theme="3" tint="-0.499984740745262"/>
        </patternFill>
      </fill>
    </dxf>
    <dxf>
      <font>
        <strike/>
        <color theme="0"/>
      </font>
      <fill>
        <patternFill>
          <bgColor theme="3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z val="14"/>
        <color theme="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55A2F2-0CED-4384-8BF1-26670AB396A6}" name="Tabla137" displayName="Tabla137" ref="B5:O45" totalsRowShown="0" dataDxfId="66" dataCellStyle="Normal 2">
  <autoFilter ref="B5:O45" xr:uid="{CA55A2F2-0CED-4384-8BF1-26670AB396A6}"/>
  <sortState xmlns:xlrd2="http://schemas.microsoft.com/office/spreadsheetml/2017/richdata2" ref="B6:N38">
    <sortCondition descending="1" ref="N5:N38"/>
  </sortState>
  <tableColumns count="14">
    <tableColumn id="2" xr3:uid="{0A9C5C2C-D224-4464-9D43-FBCA19025145}" name="Posicion" dataDxfId="65" dataCellStyle="Normal 2">
      <calculatedColumnFormula>ROW() - ROW($B$6) + 1</calculatedColumnFormula>
    </tableColumn>
    <tableColumn id="3" xr3:uid="{951FF7E9-7674-42F0-A3E9-1D9A9EB56EFA}" name="FOOTGOLFER NICKNAME" dataDxfId="64" dataCellStyle="Normal 2"/>
    <tableColumn id="27" xr3:uid="{D3D46488-7C95-47A0-8360-9D5962D92EFD}" name="Etapa 1" dataDxfId="63" dataCellStyle="Normal 2"/>
    <tableColumn id="1" xr3:uid="{660CE1F4-B11F-4D22-9B15-62105ABF8F3A}" name="Etapa 2" dataDxfId="62" dataCellStyle="Normal 2">
      <calculatedColumnFormula>IFERROR(VLOOKUP($C6,'Etapa 2 Masculina'!$E$3:$G$100,3,FALSE),0)</calculatedColumnFormula>
    </tableColumn>
    <tableColumn id="4" xr3:uid="{8D548847-9D64-4BF0-AB11-048C28557412}" name="Etapa 3" dataDxfId="61" dataCellStyle="Normal 2">
      <calculatedColumnFormula>IFERROR(VLOOKUP($C6,'Etapa 3 Absoluta'!$E$3:$G$98,3,FALSE),0)</calculatedColumnFormula>
    </tableColumn>
    <tableColumn id="5" xr3:uid="{63718065-8FF5-4BC9-B247-261E97A9942D}" name="Etapa 4" dataDxfId="60" dataCellStyle="Normal 2">
      <calculatedColumnFormula>IFERROR(VLOOKUP($C6,'Etapa 4 Absoluta'!$E$3:$G$98,3,FALSE),0)</calculatedColumnFormula>
    </tableColumn>
    <tableColumn id="6" xr3:uid="{62B34496-9DC6-4941-8975-392F76E5926E}" name="Etapa 5" dataDxfId="59" dataCellStyle="Normal 2">
      <calculatedColumnFormula>IFERROR(VLOOKUP($C6,'Etapa 5 Absoluta'!$E$3:$G$98,3,FALSE),0)</calculatedColumnFormula>
    </tableColumn>
    <tableColumn id="7" xr3:uid="{2ABB6FED-2E7A-4BB9-8825-53C34B461663}" name="Etapa 6" dataDxfId="58" dataCellStyle="Normal 2"/>
    <tableColumn id="8" xr3:uid="{D1A13C3F-6450-44F0-8002-AAACFB862C29}" name="Etapa 7" dataDxfId="57" dataCellStyle="Normal 2"/>
    <tableColumn id="9" xr3:uid="{8790A49F-331F-454A-BE2E-6A725EAABA8B}" name="Etapa 8" dataDxfId="56" dataCellStyle="Normal 2"/>
    <tableColumn id="10" xr3:uid="{37C4BEC9-531B-4AF5-A0DD-CB1B28A76A76}" name="Etapa 9" dataDxfId="55" dataCellStyle="Normal 2"/>
    <tableColumn id="11" xr3:uid="{28A4180A-E593-410A-A61E-D8F5390CEDFC}" name="Etapa 10" dataDxfId="54" dataCellStyle="Normal 2"/>
    <tableColumn id="12" xr3:uid="{B9B0CAAB-B2D3-4D89-BB8B-E92A97BB5026}" name="Total" dataDxfId="53" dataCellStyle="Normal 2">
      <calculatedColumnFormula array="1">SUM(LARGE(D6:M6,{1;2;3}))</calculatedColumnFormula>
    </tableColumn>
    <tableColumn id="13" xr3:uid="{3B9B7203-5893-461B-9F78-DCF2927E51F6}" name="Maximos puntos posibles" dataDxfId="52" dataCellStyle="Normal 2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8ACE13-696A-4443-BA39-B9FBE82EBC6D}" name="Tabla13" displayName="Tabla13" ref="B5:Q52" totalsRowShown="0" dataDxfId="51" dataCellStyle="Normal 2">
  <autoFilter ref="B5:Q52" xr:uid="{5A8ACE13-696A-4443-BA39-B9FBE82EBC6D}"/>
  <sortState xmlns:xlrd2="http://schemas.microsoft.com/office/spreadsheetml/2017/richdata2" ref="B6:Q52">
    <sortCondition descending="1" ref="P5:P52"/>
  </sortState>
  <tableColumns count="16">
    <tableColumn id="2" xr3:uid="{F1E38EBB-1BD8-4EE4-A3AE-ABCA3AEAC46B}" name="Posicion" dataDxfId="50" dataCellStyle="Normal 2">
      <calculatedColumnFormula>ROW() - ROW($B$7) + 1</calculatedColumnFormula>
    </tableColumn>
    <tableColumn id="3" xr3:uid="{A1CBC385-FCC7-45A3-8079-543EE2026D15}" name="FOOTGOLFER NICKNAME" dataDxfId="49" dataCellStyle="Normal 2"/>
    <tableColumn id="27" xr3:uid="{9D6E451B-D990-430D-B955-640E8D50D621}" name="Etapa 1" dataDxfId="48" dataCellStyle="Millares">
      <calculatedColumnFormula>IFERROR(VLOOKUP($C6,'Etapa 1 Masculino'!$E$3:$G$99,3,FALSE),0)</calculatedColumnFormula>
    </tableColumn>
    <tableColumn id="1" xr3:uid="{90ECDE70-1B8C-49EC-B656-CA7601ACAAF8}" name="Etapa 2" dataDxfId="47" dataCellStyle="Millares">
      <calculatedColumnFormula>IFERROR(VLOOKUP($C6,'Etapa 2 Masculina'!$E$3:$G$99,3,FALSE),0)</calculatedColumnFormula>
    </tableColumn>
    <tableColumn id="4" xr3:uid="{668CAF3A-214F-49B0-A7E1-07AEC7CA6CF8}" name="Etapa 3" dataDxfId="46" dataCellStyle="Millares"/>
    <tableColumn id="5" xr3:uid="{88B5246B-EFC2-4889-A0C5-605D29DDFE2C}" name="Etapa 4" dataDxfId="45" dataCellStyle="Millares"/>
    <tableColumn id="6" xr3:uid="{885F64CC-9069-40BA-929A-E08ADCB0198B}" name="Etapa 5" dataDxfId="44" dataCellStyle="Millares"/>
    <tableColumn id="7" xr3:uid="{6C3E8087-8DB0-48B4-9E77-4D881811D45B}" name="Etapa 6" dataDxfId="43" dataCellStyle="Millares"/>
    <tableColumn id="8" xr3:uid="{C7AE5939-3EE7-48F4-9206-9EA282A22377}" name="Etapa 7" dataDxfId="42" dataCellStyle="Millares"/>
    <tableColumn id="9" xr3:uid="{4D128BD7-5B1D-4EAA-928D-A74E8508FD6C}" name="Etapa 8" dataDxfId="41" dataCellStyle="Millares"/>
    <tableColumn id="10" xr3:uid="{BF1DEBF5-3534-4E55-85D9-BE8BD1E4C155}" name="Etapa 9" dataDxfId="40" dataCellStyle="Millares"/>
    <tableColumn id="11" xr3:uid="{792BA664-C178-423B-A8F6-432C1F2072E7}" name="Etapa 10" dataDxfId="39" dataCellStyle="Millares"/>
    <tableColumn id="14" xr3:uid="{6D76C7C6-EF01-41ED-9B4A-4561D0BD7544}" name="Etapa 11" dataDxfId="38" dataCellStyle="Millares"/>
    <tableColumn id="15" xr3:uid="{AE55A304-FE5A-48C7-A282-94A30AFFAD00}" name="Etapa 12" dataDxfId="37" dataCellStyle="Millares"/>
    <tableColumn id="12" xr3:uid="{FCD3FE0E-4A65-4CD9-A0C1-70CA31B94170}" name="Total" dataDxfId="36" dataCellStyle="Millares">
      <calculatedColumnFormula array="1">SUM(LARGE(D6:O6,{1;2;3;4;5;6;7;8}))</calculatedColumnFormula>
    </tableColumn>
    <tableColumn id="13" xr3:uid="{028C081B-E6E0-41A7-8A9C-966CB053AB38}" name="Maxima puntuacion posible" dataDxfId="35" dataCellStyle="Normal 2">
      <calculatedColumnFormula array="1">SUM(LARGE(CHOOSE({1,2,3,4,5,6,7,8,9,10}, D6, E6, F6, G6, H6, I6, J6, K6, L6, 250), {1,2,3,4,5,6,7}))</calculatedColumnFormula>
    </tableColumn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C204F7-CC6F-4709-AC0C-CEFDF853C60C}" name="Tabla139" displayName="Tabla139" ref="B5:Q49" totalsRowShown="0" dataDxfId="34" dataCellStyle="Normal 2">
  <autoFilter ref="B5:Q49" xr:uid="{8EC204F7-CC6F-4709-AC0C-CEFDF853C60C}"/>
  <sortState xmlns:xlrd2="http://schemas.microsoft.com/office/spreadsheetml/2017/richdata2" ref="B6:Q49">
    <sortCondition descending="1" ref="P5:P49"/>
  </sortState>
  <tableColumns count="16">
    <tableColumn id="2" xr3:uid="{30A85A4E-EEFB-4FF5-930E-F7B30744104E}" name="Posicion" dataDxfId="33" dataCellStyle="Normal 2">
      <calculatedColumnFormula>ROW() - ROW($B$6) + 1</calculatedColumnFormula>
    </tableColumn>
    <tableColumn id="3" xr3:uid="{3C3D434E-7585-4D95-8296-D1E67234ECB8}" name="FOOTGOLFER NICKNAME" dataDxfId="32" dataCellStyle="Normal 2"/>
    <tableColumn id="27" xr3:uid="{CDB33A2E-57AA-4478-923B-058E0904A198}" name="Etapa 1" dataDxfId="31" dataCellStyle="Millares">
      <calculatedColumnFormula>IFERROR(VLOOKUP($C6,'Etapa 1 Senior'!$E$3:$G$83,3,FALSE),0)</calculatedColumnFormula>
    </tableColumn>
    <tableColumn id="1" xr3:uid="{4AC31F12-1D47-4E5B-B342-93C496635CEC}" name="Etapa 2" dataDxfId="30" dataCellStyle="Millares">
      <calculatedColumnFormula>IFERROR(VLOOKUP($C6,'Etapa 2 Senior'!$E$3:$G$83,3,FALSE),0)</calculatedColumnFormula>
    </tableColumn>
    <tableColumn id="4" xr3:uid="{C25FCC5D-8058-4E0D-A1A7-288B76F84A2C}" name="Etapa 3" dataDxfId="29" dataCellStyle="Millares"/>
    <tableColumn id="5" xr3:uid="{651C490E-9B92-4DDC-A1BD-AB93B8B9E0AD}" name="Etapa 4" dataDxfId="28" dataCellStyle="Millares"/>
    <tableColumn id="6" xr3:uid="{F8F451D1-AE51-4400-84DA-8DF60622FB45}" name="Etapa 5" dataDxfId="27" dataCellStyle="Millares"/>
    <tableColumn id="7" xr3:uid="{12D2A034-DFCB-499E-8930-08DD7BB8BE61}" name="Etapa 6" dataDxfId="26" dataCellStyle="Millares"/>
    <tableColumn id="8" xr3:uid="{E7D2D98B-6F18-499F-9E5D-ABBA9D22AEBE}" name="Etapa 7" dataDxfId="25" dataCellStyle="Millares"/>
    <tableColumn id="9" xr3:uid="{058962A3-8B6D-4686-8B78-7BFDF5815A2D}" name="Etapa 8" dataDxfId="24" dataCellStyle="Millares"/>
    <tableColumn id="10" xr3:uid="{4BE3F3FE-B622-468E-9BCF-6BF978CEAB53}" name="Etapa 9" dataDxfId="23" dataCellStyle="Millares"/>
    <tableColumn id="11" xr3:uid="{3EF8476E-0FD4-4648-9890-9094D2BF4514}" name="Etapa 10" dataDxfId="22" dataCellStyle="Millares"/>
    <tableColumn id="14" xr3:uid="{72F9CADB-7B95-4EED-8F4E-29427821D2EB}" name="Etapa 11" dataDxfId="21" dataCellStyle="Millares"/>
    <tableColumn id="15" xr3:uid="{D3302936-8031-4F4B-A334-52A32696E49D}" name="Etapa 12" dataDxfId="20" dataCellStyle="Millares"/>
    <tableColumn id="12" xr3:uid="{4EA1A9BD-6347-48F9-97EC-82D1BBF11FF3}" name="Total" dataDxfId="19" dataCellStyle="Millares">
      <calculatedColumnFormula array="1">SUM(LARGE(D6:O6,{1;2;3;4;5;6;7;8}))</calculatedColumnFormula>
    </tableColumn>
    <tableColumn id="13" xr3:uid="{A0AEBCBB-ECB8-44A6-998D-C63842DADC41}" name="Maxima puntuacion posible" dataDxfId="18" dataCellStyle="Normal 2">
      <calculatedColumnFormula array="1">SUM(LARGE(CHOOSE({1,2,3,4,5,6,7,8,9,10}, D6, E6, F6, G6, H6, I6, J6, K6, L6, 250), {1,2,3,4,5,6,7}))</calculatedColumnFormula>
    </tableColumn>
  </tableColumns>
  <tableStyleInfo name="TableStyleDark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E9802BB-9A96-44D1-8C01-C250B3B7B656}" name="Tabla13911" displayName="Tabla13911" ref="B5:Q52" totalsRowShown="0" dataDxfId="83" dataCellStyle="Normal 2">
  <autoFilter ref="B5:Q52" xr:uid="{6E9802BB-9A96-44D1-8C01-C250B3B7B656}"/>
  <sortState xmlns:xlrd2="http://schemas.microsoft.com/office/spreadsheetml/2017/richdata2" ref="B6:Q52">
    <sortCondition descending="1" ref="P5:P52"/>
  </sortState>
  <tableColumns count="16">
    <tableColumn id="2" xr3:uid="{892EA637-6C36-42DD-8D6E-9221B98768F1}" name="Posicion" dataDxfId="82" dataCellStyle="Normal 2">
      <calculatedColumnFormula>ROW() - ROW($B$7) + 1</calculatedColumnFormula>
    </tableColumn>
    <tableColumn id="3" xr3:uid="{9716F7C5-ED1A-4435-992D-5FB49F1ED6CB}" name="FOOTGOLFER NICKNAME" dataDxfId="81" dataCellStyle="Normal 2"/>
    <tableColumn id="27" xr3:uid="{F5476534-2D61-472E-80D0-C1D79689B28A}" name="Etapa 1" dataDxfId="80" dataCellStyle="Millares">
      <calculatedColumnFormula>IFERROR(VLOOKUP($C6,'Etapa 1 Rookie'!$E$3:$G$83,3,FALSE),0)</calculatedColumnFormula>
    </tableColumn>
    <tableColumn id="1" xr3:uid="{C41457E1-3203-4775-AC35-550B3EDDE18A}" name="Etapa 2" dataDxfId="79" dataCellStyle="Millares">
      <calculatedColumnFormula>IFERROR(VLOOKUP($C6,'Etapa 2 Rookie'!$E$3:$G$83,3,FALSE),0)</calculatedColumnFormula>
    </tableColumn>
    <tableColumn id="4" xr3:uid="{80F89B60-247C-49FA-B598-39D89905D8E9}" name="Etapa 3" dataDxfId="78" dataCellStyle="Millares"/>
    <tableColumn id="5" xr3:uid="{3F35F293-8DB3-41A0-AF8A-FDE7830D3664}" name="Etapa 4" dataDxfId="77" dataCellStyle="Millares"/>
    <tableColumn id="6" xr3:uid="{993F21BB-1247-442A-8A83-43F0667F1A71}" name="Etapa 5" dataDxfId="76" dataCellStyle="Millares"/>
    <tableColumn id="7" xr3:uid="{1F403493-6E22-4254-9703-824E3DA8521A}" name="Etapa 6" dataDxfId="75" dataCellStyle="Millares"/>
    <tableColumn id="8" xr3:uid="{57634BDF-F17E-4FCA-88E0-874363FEDC46}" name="Etapa 7" dataDxfId="74" dataCellStyle="Millares"/>
    <tableColumn id="9" xr3:uid="{96A382FC-9F8C-4BD7-A55C-75C3C3EAAF56}" name="Etapa 8" dataDxfId="73" dataCellStyle="Millares"/>
    <tableColumn id="10" xr3:uid="{A287AE7E-6A5B-42B0-ACD9-796094E34063}" name="Etapa 9" dataDxfId="72" dataCellStyle="Millares"/>
    <tableColumn id="11" xr3:uid="{0BCE5D5B-CFAC-49C6-9B92-9D4DF75FF5FD}" name="Etapa 10" dataDxfId="71" dataCellStyle="Millares"/>
    <tableColumn id="14" xr3:uid="{2310C24A-B92E-4FA0-9160-BEE144CA8369}" name="Etapa 11" dataDxfId="70" dataCellStyle="Millares"/>
    <tableColumn id="15" xr3:uid="{F5CEEC85-5388-4DC1-9BD9-B7826E8BE188}" name="Etapa 12" dataDxfId="69" dataCellStyle="Millares"/>
    <tableColumn id="12" xr3:uid="{CFA4579C-3142-4F51-932F-C910E2104ABB}" name="Total" dataDxfId="68" dataCellStyle="Millares">
      <calculatedColumnFormula array="1">SUM(LARGE(D6:O6,{1;2;3;4;5;6;7;8}))</calculatedColumnFormula>
    </tableColumn>
    <tableColumn id="13" xr3:uid="{D2B0A136-E6A3-491C-BD06-B9A7F1C5C376}" name="Maxima puntuacion posible" dataDxfId="67" dataCellStyle="Normal 2">
      <calculatedColumnFormula array="1">SUM(LARGE(CHOOSE({1,2,3,4,5,6,7,8,9,10}, D6, E6, F6, G6, H6, I6, J6, K6, L6, 250), {1,2,3,4,5,6,7}))</calculatedColumnFormula>
    </tableColumn>
  </tableColumns>
  <tableStyleInfo name="TableStyleDark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CC0AB8-BE3D-456A-8365-D7E6FE4790D1}" name="Tabla156" displayName="Tabla156" ref="B6:J21" totalsRowShown="0" dataDxfId="17" tableBorderDxfId="16" dataCellStyle="Normal 2">
  <autoFilter ref="B6:J21" xr:uid="{D1CC0AB8-BE3D-456A-8365-D7E6FE4790D1}"/>
  <sortState xmlns:xlrd2="http://schemas.microsoft.com/office/spreadsheetml/2017/richdata2" ref="B7:J21">
    <sortCondition descending="1" ref="I6:I21"/>
  </sortState>
  <tableColumns count="9">
    <tableColumn id="2" xr3:uid="{2123C701-DE2B-478E-8FD7-7321775508F0}" name="Posicion" dataDxfId="15" dataCellStyle="Normal 2">
      <calculatedColumnFormula>ROW() - ROW($B$7) + 1</calculatedColumnFormula>
    </tableColumn>
    <tableColumn id="3" xr3:uid="{9D72F5D9-5164-41E4-B061-C9F54C3179D9}" name="FOOTGOLFER NICKNAME" dataDxfId="14" dataCellStyle="Normal 2"/>
    <tableColumn id="28" xr3:uid="{410E07BD-45D6-4C64-A7B9-3C2DA6BED543}" name="Etapa 1" dataDxfId="13" dataCellStyle="Millares">
      <calculatedColumnFormula>IFERROR(VLOOKUP($C7,'Etapa 1 Plata'!$E$3:$G$102,3,FALSE),0)</calculatedColumnFormula>
    </tableColumn>
    <tableColumn id="1" xr3:uid="{286014BB-C8E5-462F-B7B9-545D15FEEE93}" name="Etapa 2" dataDxfId="12" dataCellStyle="Millares">
      <calculatedColumnFormula>IFERROR(VLOOKUP($C7,'Etapa 2 Plata'!$E$3:$G$102,3,FALSE),0)</calculatedColumnFormula>
    </tableColumn>
    <tableColumn id="4" xr3:uid="{2D5B21C5-1521-4B33-9286-B8176398E06E}" name="Etapa 3" dataDxfId="11" dataCellStyle="Millares">
      <calculatedColumnFormula>IFERROR(VLOOKUP($C7,'Etapa 3 Plata'!$E$3:$G$102,3,FALSE),0)</calculatedColumnFormula>
    </tableColumn>
    <tableColumn id="5" xr3:uid="{9901E233-9E56-400A-8520-0128D204B9F9}" name="Etapa 4" dataDxfId="10" dataCellStyle="Millares">
      <calculatedColumnFormula>IFERROR(VLOOKUP($C7,'Etapa 4 Plata'!$E$3:$G$100,3,FALSE),0)</calculatedColumnFormula>
    </tableColumn>
    <tableColumn id="6" xr3:uid="{DD765C30-D9F3-4C93-AF5E-01B53D29A5E1}" name="Etapa 5" dataDxfId="9" dataCellStyle="Millares">
      <calculatedColumnFormula>IFERROR(VLOOKUP($C7,'Etapa 5 Plata'!$E$3:$G$100,3,FALSE),0)</calculatedColumnFormula>
    </tableColumn>
    <tableColumn id="12" xr3:uid="{06520729-C0A0-455B-9ED6-845E3A18EA3B}" name="Total" dataDxfId="8" dataCellStyle="Normal 2">
      <calculatedColumnFormula array="1">SUM(LARGE(D7:H7,{1;2;3}))</calculatedColumnFormula>
    </tableColumn>
    <tableColumn id="8" xr3:uid="{88B1C31E-8545-4CEA-9F2E-21277BD3AE85}" name="Maxima puntuacion posible" dataDxfId="7" dataCellStyle="Normal 2">
      <calculatedColumnFormula array="1">SUM(LARGE(CHOOSE({1,2,3,4,5},Tabla156[[#This Row],[Etapa 1]],Tabla156[[#This Row],[Etapa 2]],Tabla156[[#This Row],[Etapa 3]],Tabla156[[#This Row],[Etapa 4]],IF(Tabla156[[#This Row],[Etapa 5]]=0,250,Tabla156[[#This Row],[Etapa 5]])),{1,2,3}))</calculatedColumnFormula>
    </tableColumn>
  </tableColumns>
  <tableStyleInfo name="TableStyleDark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109A6-BF47-4240-8569-17EF46B896D6}" name="Tabla1" displayName="Tabla1" ref="B2:G22" totalsRowShown="0">
  <autoFilter ref="B2:G22" xr:uid="{B8E109A6-BF47-4240-8569-17EF46B896D6}"/>
  <sortState xmlns:xlrd2="http://schemas.microsoft.com/office/spreadsheetml/2017/richdata2" ref="B3:G22">
    <sortCondition ref="B2:B22"/>
  </sortState>
  <tableColumns count="6">
    <tableColumn id="2" xr3:uid="{7B14D2F1-8307-47B2-A7E7-1406C29E64D3}" name="Posicion">
      <calculatedColumnFormula>COUNTIFS($F$3:$F$967,"&lt;"&amp;$F3)+1</calculatedColumnFormula>
    </tableColumn>
    <tableColumn id="3" xr3:uid="{D687281C-BD22-4A01-B644-84872B1FE3A2}" name="FOOTGOLFER NICKNAME"/>
    <tableColumn id="4" xr3:uid="{EFE2A300-F99A-432E-AAE0-17AB3523B29D}" name="CATEGORÍA INSCRITA"/>
    <tableColumn id="5" xr3:uid="{A5D0FCEF-24AB-4CEC-AC45-EA7B1065CF41}" name="FOOTGOLFER NOMBRE_COMPLETO"/>
    <tableColumn id="26" xr3:uid="{709EA9D8-A3B5-44AD-8C5E-1CDBD7FF1142}" name="TPAR"/>
    <tableColumn id="27" xr3:uid="{57868BF8-2589-4BB5-BC78-948B755490F7}" name="Puntos" dataDxfId="6" dataCellStyle="Normal 2">
      <calculatedColumnFormula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calculatedColumnFormula>
    </tableColumn>
  </tableColumns>
  <tableStyleInfo name="TableStyleDark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EF86ED-8DA9-403D-99E2-8F04FC3BC83D}" name="Tabla18" displayName="Tabla18" ref="B2:G6" totalsRowShown="0">
  <autoFilter ref="B2:G6" xr:uid="{25EF86ED-8DA9-403D-99E2-8F04FC3BC83D}"/>
  <sortState xmlns:xlrd2="http://schemas.microsoft.com/office/spreadsheetml/2017/richdata2" ref="B3:G6">
    <sortCondition ref="B2:B6"/>
  </sortState>
  <tableColumns count="6">
    <tableColumn id="2" xr3:uid="{517405FF-AF96-43C2-BD0B-846EF6455973}" name="Posicion">
      <calculatedColumnFormula>COUNTIFS($F$3:$F$954,"&lt;"&amp;$F3)+1</calculatedColumnFormula>
    </tableColumn>
    <tableColumn id="3" xr3:uid="{86C715E6-2F19-4392-9AA0-C7905894E63E}" name="FOOTGOLFER NICKNAME"/>
    <tableColumn id="4" xr3:uid="{20ADA29E-07B3-451F-9890-88CE224BFD54}" name="CATEGORÍA INSCRITA"/>
    <tableColumn id="5" xr3:uid="{4D641978-51A9-449C-8698-D655F96FA9A9}" name="FOOTGOLFER NOMBRE_COMPLETO"/>
    <tableColumn id="26" xr3:uid="{0AC09BC6-E750-4AFD-BDD6-F5A2DBF5C3D4}" name="TPAR"/>
    <tableColumn id="27" xr3:uid="{06007B65-8660-4295-86A2-357B93AC4989}" name="Puntos" dataDxfId="5" dataCellStyle="Normal 2">
      <calculatedColumnFormula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calculatedColumnFormula>
    </tableColumn>
  </tableColumns>
  <tableStyleInfo name="TableStyleDark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7709A2-F673-43BF-8077-43B54CB35853}" name="Tabla110" displayName="Tabla110" ref="B2:G16" totalsRowShown="0">
  <autoFilter ref="B2:G16" xr:uid="{787709A2-F673-43BF-8077-43B54CB35853}"/>
  <sortState xmlns:xlrd2="http://schemas.microsoft.com/office/spreadsheetml/2017/richdata2" ref="B3:G16">
    <sortCondition ref="B2:B16"/>
  </sortState>
  <tableColumns count="6">
    <tableColumn id="2" xr3:uid="{8A1E965A-86E0-4C34-8CE4-A4F32156DCD4}" name="Posicion">
      <calculatedColumnFormula>COUNTIFS($F$3:$F$962,"&lt;"&amp;$F3)+1</calculatedColumnFormula>
    </tableColumn>
    <tableColumn id="3" xr3:uid="{E7BBDE26-BBFA-4FBE-8837-3C3045B34F05}" name="FOOTGOLFER NICKNAME"/>
    <tableColumn id="4" xr3:uid="{79BF7AD9-740A-41EC-A7A3-5374D6285096}" name="CATEGORÍA INSCRITA"/>
    <tableColumn id="5" xr3:uid="{9208FC14-1D51-4B31-8E48-153D74CDE252}" name="FOOTGOLFER NOMBRE_COMPLETO"/>
    <tableColumn id="26" xr3:uid="{BA3ED6A7-F25D-44B0-AE23-CDF14FFDF760}" name="TPAR"/>
    <tableColumn id="27" xr3:uid="{67F7D1F6-6E20-4088-A1EC-B3929F7C7A35}" name="Puntos" dataDxfId="4" dataCellStyle="Normal 2">
      <calculatedColumnFormula>_xlfn.LET(
    _xlpm.pos, B3,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calculatedColumnFormula>
    </tableColumn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AE65-B69C-4CA4-A966-A28301F577E1}">
  <dimension ref="B3:E14"/>
  <sheetViews>
    <sheetView workbookViewId="0">
      <selection activeCell="B10" sqref="B10"/>
    </sheetView>
  </sheetViews>
  <sheetFormatPr baseColWidth="10" defaultRowHeight="14.5" x14ac:dyDescent="0.35"/>
  <cols>
    <col min="2" max="2" width="12.7265625" bestFit="1" customWidth="1"/>
    <col min="3" max="3" width="16.08984375" bestFit="1" customWidth="1"/>
  </cols>
  <sheetData>
    <row r="3" spans="2:5" x14ac:dyDescent="0.35">
      <c r="B3" t="s">
        <v>154</v>
      </c>
    </row>
    <row r="4" spans="2:5" x14ac:dyDescent="0.35">
      <c r="B4">
        <v>2018</v>
      </c>
      <c r="C4" t="s">
        <v>150</v>
      </c>
    </row>
    <row r="5" spans="2:5" x14ac:dyDescent="0.35">
      <c r="B5">
        <v>2019</v>
      </c>
      <c r="C5" t="s">
        <v>150</v>
      </c>
    </row>
    <row r="6" spans="2:5" x14ac:dyDescent="0.35">
      <c r="B6" t="s">
        <v>151</v>
      </c>
      <c r="C6" t="s">
        <v>149</v>
      </c>
    </row>
    <row r="7" spans="2:5" x14ac:dyDescent="0.35">
      <c r="B7" t="s">
        <v>152</v>
      </c>
      <c r="C7" t="s">
        <v>149</v>
      </c>
    </row>
    <row r="8" spans="2:5" x14ac:dyDescent="0.35">
      <c r="B8" t="s">
        <v>153</v>
      </c>
      <c r="C8" t="s">
        <v>149</v>
      </c>
    </row>
    <row r="9" spans="2:5" x14ac:dyDescent="0.35">
      <c r="B9" t="s">
        <v>156</v>
      </c>
      <c r="C9" t="s">
        <v>150</v>
      </c>
      <c r="D9" t="s">
        <v>155</v>
      </c>
    </row>
    <row r="10" spans="2:5" x14ac:dyDescent="0.35">
      <c r="B10">
        <v>2022</v>
      </c>
      <c r="C10" t="s">
        <v>150</v>
      </c>
      <c r="D10">
        <v>2021</v>
      </c>
      <c r="E10" t="s">
        <v>149</v>
      </c>
    </row>
    <row r="11" spans="2:5" x14ac:dyDescent="0.35">
      <c r="B11">
        <v>2023</v>
      </c>
      <c r="C11" t="s">
        <v>147</v>
      </c>
      <c r="D11">
        <v>2022</v>
      </c>
      <c r="E11" t="s">
        <v>149</v>
      </c>
    </row>
    <row r="12" spans="2:5" x14ac:dyDescent="0.35">
      <c r="B12" t="s">
        <v>146</v>
      </c>
      <c r="C12" t="s">
        <v>148</v>
      </c>
      <c r="D12">
        <v>2023</v>
      </c>
      <c r="E12" t="s">
        <v>147</v>
      </c>
    </row>
    <row r="13" spans="2:5" x14ac:dyDescent="0.35">
      <c r="B13" t="s">
        <v>145</v>
      </c>
      <c r="C13" t="s">
        <v>148</v>
      </c>
      <c r="D13">
        <v>2024</v>
      </c>
      <c r="E13" t="s">
        <v>149</v>
      </c>
    </row>
    <row r="14" spans="2:5" x14ac:dyDescent="0.35">
      <c r="B14">
        <v>2025</v>
      </c>
      <c r="C14" t="s">
        <v>148</v>
      </c>
      <c r="D14">
        <v>2025</v>
      </c>
      <c r="E14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245-7321-46E5-8022-CB18689E8AC1}">
  <dimension ref="B3:O53"/>
  <sheetViews>
    <sheetView zoomScale="80" zoomScaleNormal="80" workbookViewId="0">
      <selection activeCell="D7" sqref="D7"/>
    </sheetView>
  </sheetViews>
  <sheetFormatPr baseColWidth="10" defaultRowHeight="14.5" x14ac:dyDescent="0.35"/>
  <cols>
    <col min="2" max="2" width="10" bestFit="1" customWidth="1"/>
    <col min="3" max="3" width="37.36328125" bestFit="1" customWidth="1"/>
    <col min="4" max="6" width="9.36328125" bestFit="1" customWidth="1"/>
    <col min="7" max="7" width="15" bestFit="1" customWidth="1"/>
    <col min="8" max="12" width="9.36328125" bestFit="1" customWidth="1"/>
    <col min="13" max="13" width="10.36328125" bestFit="1" customWidth="1"/>
    <col min="14" max="14" width="15" bestFit="1" customWidth="1"/>
  </cols>
  <sheetData>
    <row r="3" spans="2:15" x14ac:dyDescent="0.35">
      <c r="B3" s="16" t="s">
        <v>91</v>
      </c>
      <c r="C3" s="16"/>
      <c r="D3" s="16"/>
    </row>
    <row r="4" spans="2:15" x14ac:dyDescent="0.35">
      <c r="B4" s="16"/>
      <c r="C4" s="16"/>
      <c r="D4" s="16"/>
    </row>
    <row r="5" spans="2:15" x14ac:dyDescent="0.35">
      <c r="B5" s="3" t="s">
        <v>48</v>
      </c>
      <c r="C5" t="s">
        <v>0</v>
      </c>
      <c r="D5" s="3" t="s">
        <v>49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73</v>
      </c>
      <c r="O5" t="s">
        <v>92</v>
      </c>
    </row>
    <row r="6" spans="2:15" ht="18.5" x14ac:dyDescent="0.45">
      <c r="B6" s="6">
        <f t="shared" ref="B6:B40" si="0">ROW() - ROW($B$6) + 1</f>
        <v>1</v>
      </c>
      <c r="C6" s="6" t="s">
        <v>31</v>
      </c>
      <c r="D6" s="10">
        <v>250</v>
      </c>
      <c r="E6" s="10">
        <f>IFERROR(VLOOKUP($C6,'Etapa 2 Masculina'!$E$3:$G$100,3,FALSE),0)</f>
        <v>250</v>
      </c>
      <c r="F6" s="10">
        <f>IFERROR(VLOOKUP($C6,'Etapa 3 Absoluta'!$E$3:$G$98,3,FALSE),0)</f>
        <v>250</v>
      </c>
      <c r="G6" s="10">
        <f>IFERROR(VLOOKUP($C6,'Etapa 4 Absoluta'!$E$3:$G$98,3,FALSE),0)</f>
        <v>230</v>
      </c>
      <c r="H6" s="10">
        <f>IFERROR(VLOOKUP($C6,'Etapa 5 Absoluta'!$E$3:$G$98,3,FALSE),0)</f>
        <v>250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 cm="1">
        <f t="array" ref="N6">SUM(LARGE(D6:M6,{1;2;3}))</f>
        <v>750</v>
      </c>
      <c r="O6" s="10"/>
    </row>
    <row r="7" spans="2:15" ht="18.5" x14ac:dyDescent="0.45">
      <c r="B7" s="6">
        <f t="shared" si="0"/>
        <v>2</v>
      </c>
      <c r="C7" s="6" t="s">
        <v>38</v>
      </c>
      <c r="D7" s="10">
        <v>230</v>
      </c>
      <c r="E7" s="10">
        <f>IFERROR(VLOOKUP($C7,'Etapa 2 Masculina'!$E$3:$G$100,3,FALSE),0)</f>
        <v>215</v>
      </c>
      <c r="F7" s="10">
        <f>IFERROR(VLOOKUP($C7,'Etapa 3 Absoluta'!$E$3:$G$98,3,FALSE),0)</f>
        <v>215</v>
      </c>
      <c r="G7" s="10">
        <f>IFERROR(VLOOKUP($C7,'Etapa 4 Absoluta'!$E$3:$G$98,3,FALSE),0)</f>
        <v>170</v>
      </c>
      <c r="H7" s="10">
        <f>IFERROR(VLOOKUP($C7,'Etapa 5 Absoluta'!$E$3:$G$98,3,FALSE),0)</f>
        <v>215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 cm="1">
        <f t="array" ref="N7">SUM(LARGE(D7:M7,{1;2;3}))</f>
        <v>660</v>
      </c>
      <c r="O7" s="10"/>
    </row>
    <row r="8" spans="2:15" ht="18.5" x14ac:dyDescent="0.45">
      <c r="B8" s="6">
        <f t="shared" si="0"/>
        <v>3</v>
      </c>
      <c r="C8" s="6" t="s">
        <v>11</v>
      </c>
      <c r="D8" s="10">
        <v>215</v>
      </c>
      <c r="E8" s="10">
        <f>IFERROR(VLOOKUP($C8,'Etapa 2 Masculina'!$E$3:$G$100,3,FALSE),0)</f>
        <v>0</v>
      </c>
      <c r="F8" s="10">
        <f>IFERROR(VLOOKUP($C8,'Etapa 3 Absoluta'!$E$3:$G$98,3,FALSE),0)</f>
        <v>0</v>
      </c>
      <c r="G8" s="10">
        <f>IFERROR(VLOOKUP($C8,'Etapa 4 Absoluta'!$E$3:$G$98,3,FALSE),0)</f>
        <v>250</v>
      </c>
      <c r="H8" s="10">
        <f>IFERROR(VLOOKUP($C8,'Etapa 5 Absoluta'!$E$3:$G$98,3,FALSE),0)</f>
        <v>200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 cm="1">
        <f t="array" ref="N8">SUM(LARGE(D8:M8,{1;2;3}))</f>
        <v>665</v>
      </c>
      <c r="O8" s="10"/>
    </row>
    <row r="9" spans="2:15" ht="18.5" x14ac:dyDescent="0.45">
      <c r="B9" s="6">
        <f t="shared" si="0"/>
        <v>4</v>
      </c>
      <c r="C9" s="6" t="s">
        <v>27</v>
      </c>
      <c r="D9" s="10">
        <v>110</v>
      </c>
      <c r="E9" s="10">
        <f>IFERROR(VLOOKUP($C9,'Etapa 2 Masculina'!$E$3:$G$100,3,FALSE),0)</f>
        <v>180</v>
      </c>
      <c r="F9" s="10">
        <f>IFERROR(VLOOKUP($C9,'Etapa 3 Absoluta'!$E$3:$G$98,3,FALSE),0)</f>
        <v>200</v>
      </c>
      <c r="G9" s="10">
        <f>IFERROR(VLOOKUP($C9,'Etapa 4 Absoluta'!$E$3:$G$98,3,FALSE),0)</f>
        <v>215</v>
      </c>
      <c r="H9" s="10">
        <f>IFERROR(VLOOKUP($C9,'Etapa 5 Absoluta'!$E$3:$G$98,3,FALSE),0)</f>
        <v>230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 cm="1">
        <f t="array" ref="N9">SUM(LARGE(D9:M9,{1;2;3}))</f>
        <v>645</v>
      </c>
      <c r="O9" s="10"/>
    </row>
    <row r="10" spans="2:15" ht="18.5" x14ac:dyDescent="0.45">
      <c r="B10" s="6">
        <f t="shared" si="0"/>
        <v>5</v>
      </c>
      <c r="C10" s="6" t="s">
        <v>53</v>
      </c>
      <c r="D10" s="10">
        <v>190</v>
      </c>
      <c r="E10" s="10">
        <f>IFERROR(VLOOKUP($C10,'Etapa 2 Masculina'!$E$3:$G$100,3,FALSE),0)</f>
        <v>0</v>
      </c>
      <c r="F10" s="10">
        <f>IFERROR(VLOOKUP($C10,'Etapa 3 Absoluta'!$E$3:$G$98,3,FALSE),0)</f>
        <v>230</v>
      </c>
      <c r="G10" s="10">
        <f>IFERROR(VLOOKUP($C10,'Etapa 4 Absoluta'!$E$3:$G$98,3,FALSE),0)</f>
        <v>190</v>
      </c>
      <c r="H10" s="10">
        <f>IFERROR(VLOOKUP($C10,'Etapa 5 Absoluta'!$E$3:$G$98,3,FALSE),0)</f>
        <v>185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 cm="1">
        <f t="array" ref="N10">SUM(LARGE(D10:M10,{1;2;3}))</f>
        <v>610</v>
      </c>
      <c r="O10" s="10"/>
    </row>
    <row r="11" spans="2:15" ht="18.5" x14ac:dyDescent="0.45">
      <c r="B11" s="6">
        <f t="shared" si="0"/>
        <v>6</v>
      </c>
      <c r="C11" s="6" t="s">
        <v>20</v>
      </c>
      <c r="D11" s="10">
        <v>120</v>
      </c>
      <c r="E11" s="10">
        <f>IFERROR(VLOOKUP($C11,'Etapa 2 Masculina'!$E$3:$G$100,3,FALSE),0)</f>
        <v>200</v>
      </c>
      <c r="F11" s="10">
        <f>IFERROR(VLOOKUP($C11,'Etapa 3 Absoluta'!$E$3:$G$98,3,FALSE),0)</f>
        <v>185</v>
      </c>
      <c r="G11" s="10">
        <f>IFERROR(VLOOKUP($C11,'Etapa 4 Absoluta'!$E$3:$G$98,3,FALSE),0)</f>
        <v>200</v>
      </c>
      <c r="H11" s="10">
        <f>IFERROR(VLOOKUP($C11,'Etapa 5 Absoluta'!$E$3:$G$98,3,FALSE),0)</f>
        <v>130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 cm="1">
        <f t="array" ref="N11">SUM(LARGE(D11:M11,{1;2;3}))</f>
        <v>585</v>
      </c>
      <c r="O11" s="10"/>
    </row>
    <row r="12" spans="2:15" ht="18.5" x14ac:dyDescent="0.45">
      <c r="B12" s="6">
        <f t="shared" si="0"/>
        <v>7</v>
      </c>
      <c r="C12" s="6" t="s">
        <v>9</v>
      </c>
      <c r="D12" s="10">
        <v>95</v>
      </c>
      <c r="E12" s="10">
        <f>IFERROR(VLOOKUP($C12,'Etapa 2 Masculina'!$E$3:$G$100,3,FALSE),0)</f>
        <v>120</v>
      </c>
      <c r="F12" s="10">
        <f>IFERROR(VLOOKUP($C12,'Etapa 3 Absoluta'!$E$3:$G$98,3,FALSE),0)</f>
        <v>170</v>
      </c>
      <c r="G12" s="10">
        <f>IFERROR(VLOOKUP($C12,'Etapa 4 Absoluta'!$E$3:$G$98,3,FALSE),0)</f>
        <v>170</v>
      </c>
      <c r="H12" s="10">
        <f>IFERROR(VLOOKUP($C12,'Etapa 5 Absoluta'!$E$3:$G$98,3,FALSE),0)</f>
        <v>185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 cm="1">
        <f t="array" ref="N12">SUM(LARGE(D12:M12,{1;2;3}))</f>
        <v>525</v>
      </c>
      <c r="O12" s="10"/>
    </row>
    <row r="13" spans="2:15" ht="18.5" x14ac:dyDescent="0.45">
      <c r="B13" s="6">
        <f t="shared" si="0"/>
        <v>8</v>
      </c>
      <c r="C13" s="6" t="s">
        <v>29</v>
      </c>
      <c r="D13" s="10">
        <v>135</v>
      </c>
      <c r="E13" s="10">
        <f>IFERROR(VLOOKUP($C13,'Etapa 2 Masculina'!$E$3:$G$100,3,FALSE),0)</f>
        <v>0</v>
      </c>
      <c r="F13" s="10">
        <f>IFERROR(VLOOKUP($C13,'Etapa 3 Absoluta'!$E$3:$G$98,3,FALSE),0)</f>
        <v>110</v>
      </c>
      <c r="G13" s="10">
        <f>IFERROR(VLOOKUP($C13,'Etapa 4 Absoluta'!$E$3:$G$98,3,FALSE),0)</f>
        <v>120</v>
      </c>
      <c r="H13" s="10">
        <f>IFERROR(VLOOKUP($C13,'Etapa 5 Absoluta'!$E$3:$G$98,3,FALSE),0)</f>
        <v>160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cm="1">
        <f t="array" ref="N13">SUM(LARGE(D13:M13,{1;2;3}))</f>
        <v>415</v>
      </c>
      <c r="O13" s="10"/>
    </row>
    <row r="14" spans="2:15" ht="18.5" x14ac:dyDescent="0.45">
      <c r="B14" s="6">
        <f t="shared" si="0"/>
        <v>9</v>
      </c>
      <c r="C14" s="6" t="s">
        <v>15</v>
      </c>
      <c r="D14" s="10">
        <v>170</v>
      </c>
      <c r="E14" s="10">
        <f>IFERROR(VLOOKUP($C14,'Etapa 2 Masculina'!$E$3:$G$100,3,FALSE),0)</f>
        <v>0</v>
      </c>
      <c r="F14" s="10">
        <f>IFERROR(VLOOKUP($C14,'Etapa 3 Absoluta'!$E$3:$G$98,3,FALSE),0)</f>
        <v>185</v>
      </c>
      <c r="G14" s="10">
        <f>IFERROR(VLOOKUP($C14,'Etapa 4 Absoluta'!$E$3:$G$98,3,FALSE),0)</f>
        <v>105</v>
      </c>
      <c r="H14" s="10">
        <f>IFERROR(VLOOKUP($C14,'Etapa 5 Absoluta'!$E$3:$G$98,3,FALSE),0)</f>
        <v>160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 cm="1">
        <f t="array" ref="N14">SUM(LARGE(D14:M14,{1;2;3}))</f>
        <v>515</v>
      </c>
      <c r="O14" s="10"/>
    </row>
    <row r="15" spans="2:15" ht="18.5" x14ac:dyDescent="0.45">
      <c r="B15" s="6">
        <f t="shared" si="0"/>
        <v>10</v>
      </c>
      <c r="C15" s="6" t="s">
        <v>13</v>
      </c>
      <c r="D15" s="10">
        <v>180</v>
      </c>
      <c r="E15" s="10">
        <f>IFERROR(VLOOKUP($C15,'Etapa 2 Masculina'!$E$3:$G$100,3,FALSE),0)</f>
        <v>0</v>
      </c>
      <c r="F15" s="10">
        <f>IFERROR(VLOOKUP($C15,'Etapa 3 Absoluta'!$E$3:$G$98,3,FALSE),0)</f>
        <v>150</v>
      </c>
      <c r="G15" s="10">
        <f>IFERROR(VLOOKUP($C15,'Etapa 4 Absoluta'!$E$3:$G$98,3,FALSE),0)</f>
        <v>105</v>
      </c>
      <c r="H15" s="10">
        <f>IFERROR(VLOOKUP($C15,'Etapa 5 Absoluta'!$E$3:$G$98,3,FALSE),0)</f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 cm="1">
        <f t="array" ref="N15">SUM(LARGE(D15:M15,{1;2;3}))</f>
        <v>435</v>
      </c>
      <c r="O15" s="10"/>
    </row>
    <row r="16" spans="2:15" ht="18.5" x14ac:dyDescent="0.45">
      <c r="B16" s="6">
        <f t="shared" si="0"/>
        <v>11</v>
      </c>
      <c r="C16" s="6" t="s">
        <v>63</v>
      </c>
      <c r="D16" s="10">
        <v>0</v>
      </c>
      <c r="E16" s="10">
        <f>IFERROR(VLOOKUP($C16,'Etapa 2 Masculina'!$E$3:$G$100,3,FALSE),0)</f>
        <v>190</v>
      </c>
      <c r="F16" s="10">
        <f>IFERROR(VLOOKUP($C16,'Etapa 3 Absoluta'!$E$3:$G$98,3,FALSE),0)</f>
        <v>160</v>
      </c>
      <c r="G16" s="10">
        <f>IFERROR(VLOOKUP($C16,'Etapa 4 Absoluta'!$E$3:$G$98,3,FALSE),0)</f>
        <v>140</v>
      </c>
      <c r="H16" s="10">
        <f>IFERROR(VLOOKUP($C16,'Etapa 5 Absoluta'!$E$3:$G$98,3,FALSE),0)</f>
        <v>110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 cm="1">
        <f t="array" ref="N16">SUM(LARGE(D16:M16,{1;2;3}))</f>
        <v>490</v>
      </c>
      <c r="O16" s="10"/>
    </row>
    <row r="17" spans="2:15" ht="18.5" x14ac:dyDescent="0.45">
      <c r="B17" s="6">
        <f t="shared" si="0"/>
        <v>12</v>
      </c>
      <c r="C17" s="6" t="s">
        <v>19</v>
      </c>
      <c r="D17" s="10">
        <f>310/2</f>
        <v>155</v>
      </c>
      <c r="E17" s="10">
        <f>IFERROR(VLOOKUP($C17,'Etapa 2 Masculina'!$E$3:$G$100,3,FALSE),0)</f>
        <v>110</v>
      </c>
      <c r="F17" s="10">
        <f>IFERROR(VLOOKUP($C17,'Etapa 3 Absoluta'!$E$3:$G$98,3,FALSE),0)</f>
        <v>0</v>
      </c>
      <c r="G17" s="10">
        <f>IFERROR(VLOOKUP($C17,'Etapa 4 Absoluta'!$E$3:$G$98,3,FALSE),0)</f>
        <v>150</v>
      </c>
      <c r="H17" s="10">
        <f>IFERROR(VLOOKUP($C17,'Etapa 5 Absoluta'!$E$3:$G$98,3,FALSE),0)</f>
        <v>130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 cm="1">
        <f t="array" ref="N17">SUM(LARGE(D17:M17,{1;2;3}))</f>
        <v>435</v>
      </c>
      <c r="O17" s="10"/>
    </row>
    <row r="18" spans="2:15" ht="18.5" x14ac:dyDescent="0.45">
      <c r="B18" s="6">
        <f t="shared" si="0"/>
        <v>13</v>
      </c>
      <c r="C18" s="6" t="s">
        <v>37</v>
      </c>
      <c r="D18" s="10">
        <v>200</v>
      </c>
      <c r="E18" s="10">
        <f>IFERROR(VLOOKUP($C18,'Etapa 2 Masculina'!$E$3:$G$100,3,FALSE),0)</f>
        <v>0</v>
      </c>
      <c r="F18" s="10">
        <f>IFERROR(VLOOKUP($C18,'Etapa 3 Absoluta'!$E$3:$G$98,3,FALSE),0)</f>
        <v>0</v>
      </c>
      <c r="G18" s="10">
        <f>IFERROR(VLOOKUP($C18,'Etapa 4 Absoluta'!$E$3:$G$98,3,FALSE),0)</f>
        <v>0</v>
      </c>
      <c r="H18" s="10">
        <f>IFERROR(VLOOKUP($C18,'Etapa 5 Absoluta'!$E$3:$G$98,3,FALSE),0)</f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 cm="1">
        <f t="array" ref="N18">SUM(LARGE(D18:M18,{1;2;3}))</f>
        <v>200</v>
      </c>
      <c r="O18" s="10"/>
    </row>
    <row r="19" spans="2:15" ht="18.5" x14ac:dyDescent="0.45">
      <c r="B19" s="6">
        <f t="shared" si="0"/>
        <v>14</v>
      </c>
      <c r="C19" s="6" t="s">
        <v>76</v>
      </c>
      <c r="D19" s="10">
        <v>0</v>
      </c>
      <c r="E19" s="10">
        <f>IFERROR(VLOOKUP($C19,'Etapa 2 Masculina'!$E$3:$G$100,3,FALSE),0)</f>
        <v>80</v>
      </c>
      <c r="F19" s="10">
        <f>IFERROR(VLOOKUP($C19,'Etapa 3 Absoluta'!$E$3:$G$98,3,FALSE),0)</f>
        <v>135</v>
      </c>
      <c r="G19" s="10">
        <f>IFERROR(VLOOKUP($C19,'Etapa 4 Absoluta'!$E$3:$G$98,3,FALSE),0)</f>
        <v>87.5</v>
      </c>
      <c r="H19" s="10">
        <f>IFERROR(VLOOKUP($C19,'Etapa 5 Absoluta'!$E$3:$G$98,3,FALSE),0)</f>
        <v>160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 cm="1">
        <f t="array" ref="N19">SUM(LARGE(D19:M19,{1;2;3}))</f>
        <v>382.5</v>
      </c>
      <c r="O19" s="10"/>
    </row>
    <row r="20" spans="2:15" ht="18.5" x14ac:dyDescent="0.45">
      <c r="B20" s="6">
        <f t="shared" si="0"/>
        <v>15</v>
      </c>
      <c r="C20" s="6" t="s">
        <v>58</v>
      </c>
      <c r="D20" s="10">
        <v>62</v>
      </c>
      <c r="E20" s="10">
        <f>IFERROR(VLOOKUP($C20,'Etapa 2 Masculina'!$E$3:$G$100,3,FALSE),0)</f>
        <v>140</v>
      </c>
      <c r="F20" s="10">
        <f>IFERROR(VLOOKUP($C20,'Etapa 3 Absoluta'!$E$3:$G$98,3,FALSE),0)</f>
        <v>135</v>
      </c>
      <c r="G20" s="10">
        <f>IFERROR(VLOOKUP($C20,'Etapa 4 Absoluta'!$E$3:$G$98,3,FALSE),0)</f>
        <v>87.5</v>
      </c>
      <c r="H20" s="10">
        <f>IFERROR(VLOOKUP($C20,'Etapa 5 Absoluta'!$E$3:$G$98,3,FALSE),0)</f>
        <v>130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 cm="1">
        <f t="array" ref="N20">SUM(LARGE(D20:M20,{1;2;3}))</f>
        <v>405</v>
      </c>
      <c r="O20" s="10"/>
    </row>
    <row r="21" spans="2:15" ht="18.5" x14ac:dyDescent="0.45">
      <c r="B21" s="6">
        <f t="shared" si="0"/>
        <v>16</v>
      </c>
      <c r="C21" s="6" t="s">
        <v>42</v>
      </c>
      <c r="D21" s="10">
        <v>135</v>
      </c>
      <c r="E21" s="10">
        <f>IFERROR(VLOOKUP($C21,'Etapa 2 Masculina'!$E$3:$G$100,3,FALSE),0)</f>
        <v>0</v>
      </c>
      <c r="F21" s="10">
        <f>IFERROR(VLOOKUP($C21,'Etapa 3 Absoluta'!$E$3:$G$98,3,FALSE),0)</f>
        <v>120</v>
      </c>
      <c r="G21" s="10">
        <f>IFERROR(VLOOKUP($C21,'Etapa 4 Absoluta'!$E$3:$G$98,3,FALSE),0)</f>
        <v>0</v>
      </c>
      <c r="H21" s="10">
        <f>IFERROR(VLOOKUP($C21,'Etapa 5 Absoluta'!$E$3:$G$98,3,FALSE),0)</f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 cm="1">
        <f t="array" ref="N21">SUM(LARGE(D21:M21,{1;2;3}))</f>
        <v>255</v>
      </c>
      <c r="O21" s="10"/>
    </row>
    <row r="22" spans="2:15" ht="18.5" x14ac:dyDescent="0.45">
      <c r="B22" s="8">
        <f t="shared" si="0"/>
        <v>17</v>
      </c>
      <c r="C22" s="8" t="s">
        <v>90</v>
      </c>
      <c r="D22" s="9">
        <f>IFERROR(VLOOKUP($C22,'Etapa 2 Masculina'!$E$3:$G$100,3,FALSE),0)</f>
        <v>230</v>
      </c>
      <c r="E22" s="9">
        <f>IFERROR(VLOOKUP($C22,'Etapa 2 Masculina'!$E$3:$G$100,3,FALSE),0)</f>
        <v>230</v>
      </c>
      <c r="F22" s="9">
        <f>IFERROR(VLOOKUP($C22,'Etapa 3 Absoluta'!$E$3:$G$98,3,FALSE),0)</f>
        <v>0</v>
      </c>
      <c r="G22" s="9">
        <f>IFERROR(VLOOKUP($C22,'Etapa 4 Absoluta'!$E$3:$G$98,3,FALSE),0)</f>
        <v>170</v>
      </c>
      <c r="H22" s="9">
        <f>IFERROR(VLOOKUP($C22,'Etapa 5 Absoluta'!$E$3:$G$98,3,FALSE),0)</f>
        <v>92.5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 cm="1">
        <f t="array" ref="N22">SUM(LARGE(D22:M22,{1;2;3}))</f>
        <v>630</v>
      </c>
      <c r="O22" s="10"/>
    </row>
    <row r="23" spans="2:15" ht="18.5" x14ac:dyDescent="0.45">
      <c r="B23" s="8">
        <f t="shared" si="0"/>
        <v>18</v>
      </c>
      <c r="C23" s="8" t="s">
        <v>22</v>
      </c>
      <c r="D23" s="9">
        <v>75</v>
      </c>
      <c r="E23" s="9">
        <f>IFERROR(VLOOKUP($C23,'Etapa 2 Masculina'!$E$3:$G$100,3,FALSE),0)</f>
        <v>100</v>
      </c>
      <c r="F23" s="9">
        <f>IFERROR(VLOOKUP($C23,'Etapa 3 Absoluta'!$E$3:$G$98,3,FALSE),0)</f>
        <v>0</v>
      </c>
      <c r="G23" s="9">
        <f>IFERROR(VLOOKUP($C23,'Etapa 4 Absoluta'!$E$3:$G$98,3,FALSE),0)</f>
        <v>95</v>
      </c>
      <c r="H23" s="9">
        <f>IFERROR(VLOOKUP($C23,'Etapa 5 Absoluta'!$E$3:$G$98,3,FALSE),0)</f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 cm="1">
        <f t="array" ref="N23">SUM(LARGE(D23:M23,{1;2;3}))</f>
        <v>270</v>
      </c>
      <c r="O23" s="10"/>
    </row>
    <row r="24" spans="2:15" ht="18.5" x14ac:dyDescent="0.45">
      <c r="B24" s="8">
        <f t="shared" si="0"/>
        <v>19</v>
      </c>
      <c r="C24" s="8" t="s">
        <v>82</v>
      </c>
      <c r="D24" s="9"/>
      <c r="E24" s="9">
        <f>IFERROR(VLOOKUP($C24,'Etapa 2 Masculina'!$E$3:$G$100,3,FALSE),0)</f>
        <v>150</v>
      </c>
      <c r="F24" s="9">
        <f>IFERROR(VLOOKUP($C24,'Etapa 3 Absoluta'!$E$3:$G$98,3,FALSE),0)</f>
        <v>0</v>
      </c>
      <c r="G24" s="9">
        <f>IFERROR(VLOOKUP($C24,'Etapa 4 Absoluta'!$E$3:$G$98,3,FALSE),0)</f>
        <v>130</v>
      </c>
      <c r="H24" s="9">
        <f>IFERROR(VLOOKUP($C24,'Etapa 5 Absoluta'!$E$3:$G$98,3,FALSE),0)</f>
        <v>92.5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 cm="1">
        <f t="array" ref="N24">SUM(LARGE(D24:M24,{1;2;3}))</f>
        <v>372.5</v>
      </c>
      <c r="O24" s="10"/>
    </row>
    <row r="25" spans="2:15" ht="18.5" x14ac:dyDescent="0.45">
      <c r="B25" s="8">
        <f t="shared" si="0"/>
        <v>20</v>
      </c>
      <c r="C25" s="8" t="s">
        <v>39</v>
      </c>
      <c r="D25" s="9">
        <f>310/2</f>
        <v>155</v>
      </c>
      <c r="E25" s="9">
        <f>IFERROR(VLOOKUP($C25,'Etapa 2 Masculina'!$E$3:$G$100,3,FALSE),0)</f>
        <v>0</v>
      </c>
      <c r="F25" s="9">
        <f>IFERROR(VLOOKUP($C25,'Etapa 3 Absoluta'!$E$3:$G$98,3,FALSE),0)</f>
        <v>0</v>
      </c>
      <c r="G25" s="9">
        <f>IFERROR(VLOOKUP($C25,'Etapa 4 Absoluta'!$E$3:$G$98,3,FALSE),0)</f>
        <v>0</v>
      </c>
      <c r="H25" s="9">
        <f>IFERROR(VLOOKUP($C25,'Etapa 5 Absoluta'!$E$3:$G$98,3,FALSE),0)</f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 cm="1">
        <f t="array" ref="N25">SUM(LARGE(D25:M25,{1;2;3}))</f>
        <v>155</v>
      </c>
      <c r="O25" s="10"/>
    </row>
    <row r="26" spans="2:15" ht="18.5" x14ac:dyDescent="0.45">
      <c r="B26" s="6">
        <f t="shared" si="0"/>
        <v>21</v>
      </c>
      <c r="C26" s="6" t="s">
        <v>60</v>
      </c>
      <c r="D26" s="10">
        <v>0</v>
      </c>
      <c r="E26" s="10">
        <f>IFERROR(VLOOKUP($C26,'Etapa 2 Masculina'!$E$3:$G$100,3,FALSE),0)</f>
        <v>0</v>
      </c>
      <c r="F26" s="10">
        <f>IFERROR(VLOOKUP($C26,'Etapa 3 Absoluta'!$E$3:$G$98,3,FALSE),0)</f>
        <v>0</v>
      </c>
      <c r="G26" s="10">
        <f>IFERROR(VLOOKUP($C26,'Etapa 4 Absoluta'!$E$3:$G$98,3,FALSE),0)</f>
        <v>0</v>
      </c>
      <c r="H26" s="10">
        <f>IFERROR(VLOOKUP($C26,'Etapa 5 Absoluta'!$E$3:$G$98,3,FALSE),0)</f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 cm="1">
        <f t="array" ref="N26">SUM(LARGE(D26:M26,{1;2;3}))</f>
        <v>0</v>
      </c>
      <c r="O26" s="10"/>
    </row>
    <row r="27" spans="2:15" ht="18.5" x14ac:dyDescent="0.45">
      <c r="B27" s="8">
        <f t="shared" si="0"/>
        <v>22</v>
      </c>
      <c r="C27" s="8" t="s">
        <v>25</v>
      </c>
      <c r="D27" s="9">
        <v>58</v>
      </c>
      <c r="E27" s="9">
        <f>IFERROR(VLOOKUP($C27,'Etapa 2 Masculina'!$E$3:$G$100,3,FALSE),0)</f>
        <v>70</v>
      </c>
      <c r="F27" s="9">
        <f>IFERROR(VLOOKUP($C27,'Etapa 3 Absoluta'!$E$3:$G$98,3,FALSE),0)</f>
        <v>0</v>
      </c>
      <c r="G27" s="9">
        <f>IFERROR(VLOOKUP($C27,'Etapa 4 Absoluta'!$E$3:$G$98,3,FALSE),0)</f>
        <v>70.333333333333329</v>
      </c>
      <c r="H27" s="9">
        <f>IFERROR(VLOOKUP($C27,'Etapa 5 Absoluta'!$E$3:$G$98,3,FALSE),0)</f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 cm="1">
        <f t="array" ref="N27">SUM(LARGE(D27:M27,{1;2;3}))</f>
        <v>198.33333333333331</v>
      </c>
      <c r="O27" s="10"/>
    </row>
    <row r="28" spans="2:15" ht="18.5" x14ac:dyDescent="0.45">
      <c r="B28" s="8">
        <f t="shared" si="0"/>
        <v>23</v>
      </c>
      <c r="C28" s="8" t="s">
        <v>88</v>
      </c>
      <c r="D28" s="9">
        <f>IFERROR(VLOOKUP($C28,'Etapa 2 Masculina'!$E$3:$G$100,3,FALSE),0)</f>
        <v>130</v>
      </c>
      <c r="E28" s="9">
        <f>IFERROR(VLOOKUP($C28,'Etapa 2 Masculina'!$E$3:$G$100,3,FALSE),0)</f>
        <v>130</v>
      </c>
      <c r="F28" s="9">
        <f>IFERROR(VLOOKUP($C28,'Etapa 3 Absoluta'!$E$3:$G$98,3,FALSE),0)</f>
        <v>0</v>
      </c>
      <c r="G28" s="9">
        <f>IFERROR(VLOOKUP($C28,'Etapa 4 Absoluta'!$E$3:$G$98,3,FALSE),0)</f>
        <v>70.333333333333329</v>
      </c>
      <c r="H28" s="9">
        <f>IFERROR(VLOOKUP($C28,'Etapa 5 Absoluta'!$E$3:$G$98,3,FALSE),0)</f>
        <v>92.5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 cm="1">
        <f t="array" ref="N28">SUM(LARGE(D28:M28,{1;2;3}))</f>
        <v>352.5</v>
      </c>
      <c r="O28" s="10"/>
    </row>
    <row r="29" spans="2:15" ht="18.5" x14ac:dyDescent="0.45">
      <c r="B29" s="8">
        <f t="shared" si="0"/>
        <v>24</v>
      </c>
      <c r="C29" s="8" t="s">
        <v>35</v>
      </c>
      <c r="D29" s="9">
        <v>66</v>
      </c>
      <c r="E29" s="9">
        <f>IFERROR(VLOOKUP($C29,'Etapa 2 Masculina'!$E$3:$G$100,3,FALSE),0)</f>
        <v>0</v>
      </c>
      <c r="F29" s="9">
        <f>IFERROR(VLOOKUP($C29,'Etapa 3 Absoluta'!$E$3:$G$98,3,FALSE),0)</f>
        <v>0</v>
      </c>
      <c r="G29" s="9">
        <f>IFERROR(VLOOKUP($C29,'Etapa 4 Absoluta'!$E$3:$G$98,3,FALSE),0)</f>
        <v>0</v>
      </c>
      <c r="H29" s="9">
        <f>IFERROR(VLOOKUP($C29,'Etapa 5 Absoluta'!$E$3:$G$98,3,FALSE),0)</f>
        <v>92.5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 cm="1">
        <f t="array" ref="N29">SUM(LARGE(D29:M29,{1;2;3}))</f>
        <v>158.5</v>
      </c>
      <c r="O29" s="10"/>
    </row>
    <row r="30" spans="2:15" ht="18.5" x14ac:dyDescent="0.45">
      <c r="B30" s="8">
        <f t="shared" si="0"/>
        <v>25</v>
      </c>
      <c r="C30" s="8" t="s">
        <v>33</v>
      </c>
      <c r="D30" s="9">
        <v>100</v>
      </c>
      <c r="E30" s="9">
        <f>IFERROR(VLOOKUP($C30,'Etapa 2 Masculina'!$E$3:$G$100,3,FALSE),0)</f>
        <v>0</v>
      </c>
      <c r="F30" s="9">
        <f>IFERROR(VLOOKUP($C30,'Etapa 3 Absoluta'!$E$3:$G$98,3,FALSE),0)</f>
        <v>0</v>
      </c>
      <c r="G30" s="9">
        <f>IFERROR(VLOOKUP($C30,'Etapa 4 Absoluta'!$E$3:$G$98,3,FALSE),0)</f>
        <v>0</v>
      </c>
      <c r="H30" s="9">
        <f>IFERROR(VLOOKUP($C30,'Etapa 5 Absoluta'!$E$3:$G$98,3,FALSE),0)</f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 cm="1">
        <f t="array" ref="N30">SUM(LARGE(D30:M30,{1;2;3}))</f>
        <v>100</v>
      </c>
      <c r="O30" s="10"/>
    </row>
    <row r="31" spans="2:15" ht="18.5" x14ac:dyDescent="0.45">
      <c r="B31" s="8">
        <f t="shared" si="0"/>
        <v>26</v>
      </c>
      <c r="C31" s="8" t="s">
        <v>55</v>
      </c>
      <c r="D31" s="9">
        <v>0</v>
      </c>
      <c r="E31" s="9">
        <f>IFERROR(VLOOKUP($C31,'Etapa 2 Masculina'!$E$3:$G$100,3,FALSE),0)</f>
        <v>0</v>
      </c>
      <c r="F31" s="9">
        <f>IFERROR(VLOOKUP($C31,'Etapa 3 Absoluta'!$E$3:$G$98,3,FALSE),0)</f>
        <v>0</v>
      </c>
      <c r="G31" s="9">
        <f>IFERROR(VLOOKUP($C31,'Etapa 4 Absoluta'!$E$3:$G$98,3,FALSE),0)</f>
        <v>62</v>
      </c>
      <c r="H31" s="9">
        <f>IFERROR(VLOOKUP($C31,'Etapa 5 Absoluta'!$E$3:$G$98,3,FALSE),0)</f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 cm="1">
        <f t="array" ref="N31">SUM(LARGE(D31:M31,{1;2;3}))</f>
        <v>62</v>
      </c>
      <c r="O31" s="10"/>
    </row>
    <row r="32" spans="2:15" ht="18.5" x14ac:dyDescent="0.45">
      <c r="B32" s="8">
        <f t="shared" si="0"/>
        <v>27</v>
      </c>
      <c r="C32" s="8" t="s">
        <v>86</v>
      </c>
      <c r="D32" s="9">
        <f>IFERROR(VLOOKUP($C32,'Etapa 2 Masculina'!$E$3:$G$100,3,FALSE),0)</f>
        <v>92.5</v>
      </c>
      <c r="E32" s="9">
        <f>IFERROR(VLOOKUP($C32,'Etapa 2 Masculina'!$E$3:$G$100,3,FALSE),0)</f>
        <v>92.5</v>
      </c>
      <c r="F32" s="9">
        <f>IFERROR(VLOOKUP($C32,'Etapa 3 Absoluta'!$E$3:$G$98,3,FALSE),0)</f>
        <v>0</v>
      </c>
      <c r="G32" s="9">
        <f>IFERROR(VLOOKUP($C32,'Etapa 4 Absoluta'!$E$3:$G$98,3,FALSE),0)</f>
        <v>70.333333333333329</v>
      </c>
      <c r="H32" s="9">
        <f>IFERROR(VLOOKUP($C32,'Etapa 5 Absoluta'!$E$3:$G$98,3,FALSE),0)</f>
        <v>80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 cm="1">
        <f t="array" ref="N32">SUM(LARGE(D32:M32,{1;2;3}))</f>
        <v>265</v>
      </c>
      <c r="O32" s="10"/>
    </row>
    <row r="33" spans="2:15" ht="18.5" x14ac:dyDescent="0.45">
      <c r="B33" s="8">
        <f t="shared" si="0"/>
        <v>28</v>
      </c>
      <c r="C33" s="8" t="s">
        <v>16</v>
      </c>
      <c r="D33" s="9">
        <v>80</v>
      </c>
      <c r="E33" s="9">
        <f>IFERROR(VLOOKUP($C33,'Etapa 2 Masculina'!$E$3:$G$100,3,FALSE),0)</f>
        <v>0</v>
      </c>
      <c r="F33" s="9">
        <f>IFERROR(VLOOKUP($C33,'Etapa 3 Absoluta'!$E$3:$G$98,3,FALSE),0)</f>
        <v>0</v>
      </c>
      <c r="G33" s="9">
        <f>IFERROR(VLOOKUP($C33,'Etapa 4 Absoluta'!$E$3:$G$98,3,FALSE),0)</f>
        <v>0</v>
      </c>
      <c r="H33" s="9">
        <f>IFERROR(VLOOKUP($C33,'Etapa 5 Absoluta'!$E$3:$G$98,3,FALSE),0)</f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 cm="1">
        <f t="array" ref="N33">SUM(LARGE(D33:M33,{1;2;3}))</f>
        <v>80</v>
      </c>
      <c r="O33" s="10"/>
    </row>
    <row r="34" spans="2:15" ht="18.5" x14ac:dyDescent="0.45">
      <c r="B34" s="8">
        <f t="shared" si="0"/>
        <v>29</v>
      </c>
      <c r="C34" s="8" t="s">
        <v>61</v>
      </c>
      <c r="D34" s="9">
        <v>0</v>
      </c>
      <c r="E34" s="9">
        <f>IFERROR(VLOOKUP($C34,'Etapa 2 Masculina'!$E$3:$G$100,3,FALSE),0)</f>
        <v>0</v>
      </c>
      <c r="F34" s="9">
        <f>IFERROR(VLOOKUP($C34,'Etapa 3 Absoluta'!$E$3:$G$98,3,FALSE),0)</f>
        <v>0</v>
      </c>
      <c r="G34" s="9">
        <f>IFERROR(VLOOKUP($C34,'Etapa 4 Absoluta'!$E$3:$G$98,3,FALSE),0)</f>
        <v>0</v>
      </c>
      <c r="H34" s="9">
        <f>IFERROR(VLOOKUP($C34,'Etapa 5 Absoluta'!$E$3:$G$98,3,FALSE),0)</f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 cm="1">
        <f t="array" ref="N34">SUM(LARGE(D34:M34,{1;2;3}))</f>
        <v>0</v>
      </c>
      <c r="O34" s="10"/>
    </row>
    <row r="35" spans="2:15" ht="18.5" x14ac:dyDescent="0.45">
      <c r="B35" s="8">
        <f t="shared" si="0"/>
        <v>30</v>
      </c>
      <c r="C35" s="8" t="s">
        <v>7</v>
      </c>
      <c r="D35" s="9">
        <v>90</v>
      </c>
      <c r="E35" s="9">
        <f>IFERROR(VLOOKUP($C35,'Etapa 2 Masculina'!$E$3:$G$100,3,FALSE),0)</f>
        <v>0</v>
      </c>
      <c r="F35" s="9">
        <f>IFERROR(VLOOKUP($C35,'Etapa 3 Absoluta'!$E$3:$G$98,3,FALSE),0)</f>
        <v>0</v>
      </c>
      <c r="G35" s="9">
        <f>IFERROR(VLOOKUP($C35,'Etapa 4 Absoluta'!$E$3:$G$98,3,FALSE),0)</f>
        <v>0</v>
      </c>
      <c r="H35" s="9">
        <f>IFERROR(VLOOKUP($C35,'Etapa 5 Absoluta'!$E$3:$G$98,3,FALSE),0)</f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 cm="1">
        <f t="array" ref="N35">SUM(LARGE(D35:M35,{1;2;3}))</f>
        <v>90</v>
      </c>
      <c r="O35" s="10"/>
    </row>
    <row r="36" spans="2:15" ht="18.5" x14ac:dyDescent="0.45">
      <c r="B36" s="8">
        <f t="shared" si="0"/>
        <v>31</v>
      </c>
      <c r="C36" s="8" t="s">
        <v>5</v>
      </c>
      <c r="D36" s="9">
        <v>85</v>
      </c>
      <c r="E36" s="9">
        <f>IFERROR(VLOOKUP($C36,'Etapa 2 Masculina'!$E$3:$G$100,3,FALSE),0)</f>
        <v>0</v>
      </c>
      <c r="F36" s="9">
        <f>IFERROR(VLOOKUP($C36,'Etapa 3 Absoluta'!$E$3:$G$98,3,FALSE),0)</f>
        <v>0</v>
      </c>
      <c r="G36" s="9">
        <f>IFERROR(VLOOKUP($C36,'Etapa 4 Absoluta'!$E$3:$G$98,3,FALSE),0)</f>
        <v>0</v>
      </c>
      <c r="H36" s="9">
        <f>IFERROR(VLOOKUP($C36,'Etapa 5 Absoluta'!$E$3:$G$98,3,FALSE),0)</f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 cm="1">
        <f t="array" ref="N36">SUM(LARGE(D36:M36,{1;2;3}))</f>
        <v>85</v>
      </c>
      <c r="O36" s="10"/>
    </row>
    <row r="37" spans="2:15" ht="18.5" x14ac:dyDescent="0.45">
      <c r="B37" s="8">
        <f t="shared" si="0"/>
        <v>32</v>
      </c>
      <c r="C37" s="8" t="s">
        <v>52</v>
      </c>
      <c r="D37" s="9">
        <v>0</v>
      </c>
      <c r="E37" s="9">
        <f>IFERROR(VLOOKUP($C37,'Etapa 2 Masculina'!$E$3:$G$100,3,FALSE),0)</f>
        <v>0</v>
      </c>
      <c r="F37" s="9">
        <f>IFERROR(VLOOKUP($C37,'Etapa 3 Absoluta'!$E$3:$G$98,3,FALSE),0)</f>
        <v>0</v>
      </c>
      <c r="G37" s="9">
        <f>IFERROR(VLOOKUP($C37,'Etapa 4 Absoluta'!$E$3:$G$98,3,FALSE),0)</f>
        <v>0</v>
      </c>
      <c r="H37" s="9">
        <f>IFERROR(VLOOKUP($C37,'Etapa 5 Absoluta'!$E$3:$G$98,3,FALSE),0)</f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 cm="1">
        <f t="array" ref="N37">SUM(LARGE(D37:M37,{1;2;3}))</f>
        <v>0</v>
      </c>
      <c r="O37" s="10"/>
    </row>
    <row r="38" spans="2:15" ht="18.5" x14ac:dyDescent="0.45">
      <c r="B38" s="8">
        <f t="shared" si="0"/>
        <v>33</v>
      </c>
      <c r="C38" s="8" t="s">
        <v>23</v>
      </c>
      <c r="D38" s="9">
        <v>70</v>
      </c>
      <c r="E38" s="9">
        <f>IFERROR(VLOOKUP($C38,'Etapa 2 Masculina'!$E$3:$G$100,3,FALSE),0)</f>
        <v>0</v>
      </c>
      <c r="F38" s="9">
        <f>IFERROR(VLOOKUP($C38,'Etapa 3 Absoluta'!$E$3:$G$98,3,FALSE),0)</f>
        <v>0</v>
      </c>
      <c r="G38" s="9">
        <f>IFERROR(VLOOKUP($C38,'Etapa 4 Absoluta'!$E$3:$G$98,3,FALSE),0)</f>
        <v>0</v>
      </c>
      <c r="H38" s="9">
        <f>IFERROR(VLOOKUP($C38,'Etapa 5 Absoluta'!$E$3:$G$98,3,FALSE),0)</f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 cm="1">
        <f t="array" ref="N38">SUM(LARGE(D38:M38,{1;2;3}))</f>
        <v>70</v>
      </c>
      <c r="O38" s="10"/>
    </row>
    <row r="39" spans="2:15" ht="18.5" x14ac:dyDescent="0.45">
      <c r="B39" s="8">
        <f t="shared" si="0"/>
        <v>34</v>
      </c>
      <c r="C39" s="8" t="s">
        <v>84</v>
      </c>
      <c r="D39" s="9">
        <v>0</v>
      </c>
      <c r="E39" s="9">
        <f>IFERROR(VLOOKUP($C39,'Etapa 2 Masculina'!$E$3:$G$100,3,FALSE),0)</f>
        <v>0</v>
      </c>
      <c r="F39" s="9">
        <f>IFERROR(VLOOKUP($C39,'Etapa 3 Absoluta'!$E$3:$G$98,3,FALSE),0)</f>
        <v>0</v>
      </c>
      <c r="G39" s="9">
        <f>IFERROR(VLOOKUP($C39,'Etapa 4 Absoluta'!$E$3:$G$98,3,FALSE),0)</f>
        <v>80</v>
      </c>
      <c r="H39" s="9">
        <f>IFERROR(VLOOKUP($C39,'Etapa 5 Absoluta'!$E$3:$G$98,3,FALSE),0)</f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 cm="1">
        <f t="array" ref="N39">SUM(LARGE(D39:M39,{1;2;3}))</f>
        <v>80</v>
      </c>
      <c r="O39" s="10"/>
    </row>
    <row r="40" spans="2:15" ht="18.5" x14ac:dyDescent="0.45">
      <c r="B40" s="8">
        <f t="shared" si="0"/>
        <v>35</v>
      </c>
      <c r="C40" s="8" t="s">
        <v>79</v>
      </c>
      <c r="D40" s="9">
        <v>0</v>
      </c>
      <c r="E40" s="9">
        <f>IFERROR(VLOOKUP($C40,'Etapa 2 Masculina'!$E$3:$G$100,3,FALSE),0)</f>
        <v>0</v>
      </c>
      <c r="F40" s="9">
        <f>IFERROR(VLOOKUP($C40,'Etapa 3 Absoluta'!$E$3:$G$98,3,FALSE),0)</f>
        <v>0</v>
      </c>
      <c r="G40" s="9">
        <f>IFERROR(VLOOKUP($C40,'Etapa 4 Absoluta'!$E$3:$G$98,3,FALSE),0)</f>
        <v>58</v>
      </c>
      <c r="H40" s="9">
        <f>IFERROR(VLOOKUP($C40,'Etapa 5 Absoluta'!$E$3:$G$98,3,FALSE),0)</f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 cm="1">
        <f t="array" ref="N40">SUM(LARGE(D40:M40,{1;2;3}))</f>
        <v>58</v>
      </c>
      <c r="O40" s="10"/>
    </row>
    <row r="41" spans="2:15" ht="18.5" x14ac:dyDescent="0.45">
      <c r="B41" s="8">
        <f t="shared" ref="B41:B45" si="1">ROW() - ROW($B$6) + 1</f>
        <v>36</v>
      </c>
      <c r="C41" s="8" t="s">
        <v>97</v>
      </c>
      <c r="D41" s="9"/>
      <c r="E41" s="9">
        <f>IFERROR(VLOOKUP($C41,'Etapa 2 Masculina'!$E$3:$G$100,3,FALSE),0)</f>
        <v>0</v>
      </c>
      <c r="F41" s="9">
        <f>IFERROR(VLOOKUP($C41,'Etapa 3 Absoluta'!$E$3:$G$98,3,FALSE),0)</f>
        <v>0</v>
      </c>
      <c r="G41" s="9">
        <f>IFERROR(VLOOKUP($C41,'Etapa 4 Absoluta'!$E$3:$G$98,3,FALSE),0)</f>
        <v>0</v>
      </c>
      <c r="H41" s="9">
        <f>IFERROR(VLOOKUP($C41,'Etapa 5 Absoluta'!$E$3:$G$98,3,FALSE),0)</f>
        <v>0</v>
      </c>
      <c r="I41" s="9"/>
      <c r="J41" s="9"/>
      <c r="K41" s="9"/>
      <c r="L41" s="9"/>
      <c r="M41" s="9"/>
      <c r="N41" s="9" cm="1">
        <f t="array" ref="N41">SUM(LARGE(D41:M41,{1;2;3}))</f>
        <v>0</v>
      </c>
      <c r="O41" s="10"/>
    </row>
    <row r="42" spans="2:15" ht="18.5" x14ac:dyDescent="0.45">
      <c r="B42" s="8">
        <f t="shared" si="1"/>
        <v>37</v>
      </c>
      <c r="C42" s="8" t="s">
        <v>100</v>
      </c>
      <c r="D42" s="9"/>
      <c r="E42" s="9">
        <f>IFERROR(VLOOKUP($C42,'Etapa 2 Masculina'!$E$3:$G$100,3,FALSE),0)</f>
        <v>0</v>
      </c>
      <c r="F42" s="9">
        <f>IFERROR(VLOOKUP($C42,'Etapa 3 Absoluta'!$E$3:$G$98,3,FALSE),0)</f>
        <v>0</v>
      </c>
      <c r="G42" s="9">
        <f>IFERROR(VLOOKUP($C42,'Etapa 4 Absoluta'!$E$3:$G$98,3,FALSE),0)</f>
        <v>0</v>
      </c>
      <c r="H42" s="9">
        <f>IFERROR(VLOOKUP($C42,'Etapa 5 Absoluta'!$E$3:$G$98,3,FALSE),0)</f>
        <v>0</v>
      </c>
      <c r="I42" s="9"/>
      <c r="J42" s="9"/>
      <c r="K42" s="9"/>
      <c r="L42" s="9"/>
      <c r="M42" s="9"/>
      <c r="N42" s="9" cm="1">
        <f t="array" ref="N42">SUM(LARGE(D42:M42,{1;2;3}))</f>
        <v>0</v>
      </c>
      <c r="O42" s="10"/>
    </row>
    <row r="43" spans="2:15" ht="18.5" x14ac:dyDescent="0.45">
      <c r="B43" s="8">
        <f t="shared" si="1"/>
        <v>38</v>
      </c>
      <c r="C43" s="8" t="s">
        <v>102</v>
      </c>
      <c r="D43" s="9"/>
      <c r="E43" s="9">
        <f>IFERROR(VLOOKUP($C43,'Etapa 2 Masculina'!$E$3:$G$100,3,FALSE),0)</f>
        <v>0</v>
      </c>
      <c r="F43" s="9">
        <f>IFERROR(VLOOKUP($C43,'Etapa 3 Absoluta'!$E$3:$G$98,3,FALSE),0)</f>
        <v>0</v>
      </c>
      <c r="G43" s="9">
        <f>IFERROR(VLOOKUP($C43,'Etapa 4 Absoluta'!$E$3:$G$98,3,FALSE),0)</f>
        <v>0</v>
      </c>
      <c r="H43" s="9">
        <f>IFERROR(VLOOKUP($C43,'Etapa 5 Absoluta'!$E$3:$G$98,3,FALSE),0)</f>
        <v>0</v>
      </c>
      <c r="I43" s="9"/>
      <c r="J43" s="9"/>
      <c r="K43" s="9"/>
      <c r="L43" s="9"/>
      <c r="M43" s="9"/>
      <c r="N43" s="9" cm="1">
        <f t="array" ref="N43">SUM(LARGE(D43:M43,{1;2;3}))</f>
        <v>0</v>
      </c>
      <c r="O43" s="10"/>
    </row>
    <row r="44" spans="2:15" ht="18.5" x14ac:dyDescent="0.45">
      <c r="B44" s="8">
        <f t="shared" si="1"/>
        <v>39</v>
      </c>
      <c r="C44" s="8" t="s">
        <v>104</v>
      </c>
      <c r="D44" s="9"/>
      <c r="E44" s="9">
        <f>IFERROR(VLOOKUP($C44,'Etapa 2 Masculina'!$E$3:$G$100,3,FALSE),0)</f>
        <v>0</v>
      </c>
      <c r="F44" s="9">
        <f>IFERROR(VLOOKUP($C44,'Etapa 3 Absoluta'!$E$3:$G$98,3,FALSE),0)</f>
        <v>0</v>
      </c>
      <c r="G44" s="9">
        <f>IFERROR(VLOOKUP($C44,'Etapa 4 Absoluta'!$E$3:$G$98,3,FALSE),0)</f>
        <v>0</v>
      </c>
      <c r="H44" s="9">
        <f>IFERROR(VLOOKUP($C44,'Etapa 5 Absoluta'!$E$3:$G$98,3,FALSE),0)</f>
        <v>0</v>
      </c>
      <c r="I44" s="9"/>
      <c r="J44" s="9"/>
      <c r="K44" s="9"/>
      <c r="L44" s="9"/>
      <c r="M44" s="9"/>
      <c r="N44" s="9" cm="1">
        <f t="array" ref="N44">SUM(LARGE(D44:M44,{1;2;3}))</f>
        <v>0</v>
      </c>
      <c r="O44" s="10"/>
    </row>
    <row r="45" spans="2:15" ht="18.5" x14ac:dyDescent="0.45">
      <c r="B45" s="8">
        <f t="shared" si="1"/>
        <v>40</v>
      </c>
      <c r="C45" s="8" t="s">
        <v>106</v>
      </c>
      <c r="D45" s="9"/>
      <c r="E45" s="9">
        <f>IFERROR(VLOOKUP($C45,'Etapa 2 Masculina'!$E$3:$G$100,3,FALSE),0)</f>
        <v>62</v>
      </c>
      <c r="F45" s="9">
        <f>IFERROR(VLOOKUP($C45,'Etapa 3 Absoluta'!$E$3:$G$98,3,FALSE),0)</f>
        <v>0</v>
      </c>
      <c r="G45" s="9">
        <f>IFERROR(VLOOKUP($C45,'Etapa 4 Absoluta'!$E$3:$G$98,3,FALSE),0)</f>
        <v>0</v>
      </c>
      <c r="H45" s="9">
        <f>IFERROR(VLOOKUP($C45,'Etapa 5 Absoluta'!$E$3:$G$98,3,FALSE),0)</f>
        <v>0</v>
      </c>
      <c r="I45" s="9"/>
      <c r="J45" s="9"/>
      <c r="K45" s="9"/>
      <c r="L45" s="9"/>
      <c r="M45" s="9"/>
      <c r="N45" s="9" cm="1">
        <f t="array" ref="N45">SUM(LARGE(D45:M45,{1;2;3}))</f>
        <v>62</v>
      </c>
      <c r="O45" s="10"/>
    </row>
    <row r="46" spans="2:15" x14ac:dyDescent="0.35">
      <c r="C46" s="3"/>
    </row>
    <row r="47" spans="2:15" x14ac:dyDescent="0.35">
      <c r="C47" s="3"/>
    </row>
    <row r="48" spans="2:15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</sheetData>
  <mergeCells count="1">
    <mergeCell ref="B3:D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F232-A9FB-4502-8FD4-8F57FC1892EB}">
  <sheetPr codeName="Hoja2"/>
  <dimension ref="B3:V52"/>
  <sheetViews>
    <sheetView tabSelected="1" topLeftCell="A18" zoomScale="90" zoomScaleNormal="90" workbookViewId="0">
      <selection activeCell="C38" sqref="C38"/>
    </sheetView>
  </sheetViews>
  <sheetFormatPr baseColWidth="10" defaultRowHeight="14.5" x14ac:dyDescent="0.35"/>
  <cols>
    <col min="2" max="2" width="10" bestFit="1" customWidth="1"/>
    <col min="3" max="3" width="36.453125" bestFit="1" customWidth="1"/>
    <col min="4" max="4" width="11" bestFit="1" customWidth="1"/>
    <col min="5" max="6" width="11" customWidth="1"/>
    <col min="7" max="15" width="10.90625" customWidth="1"/>
    <col min="16" max="16" width="12.54296875" bestFit="1" customWidth="1"/>
    <col min="17" max="17" width="26.7265625" bestFit="1" customWidth="1"/>
  </cols>
  <sheetData>
    <row r="3" spans="2:22" x14ac:dyDescent="0.35">
      <c r="B3" s="16" t="s">
        <v>139</v>
      </c>
      <c r="C3" s="16"/>
      <c r="D3" s="16"/>
    </row>
    <row r="4" spans="2:22" x14ac:dyDescent="0.35">
      <c r="B4" s="16"/>
      <c r="C4" s="16"/>
      <c r="D4" s="16"/>
    </row>
    <row r="5" spans="2:22" x14ac:dyDescent="0.35">
      <c r="B5" s="3" t="s">
        <v>48</v>
      </c>
      <c r="C5" t="s">
        <v>0</v>
      </c>
      <c r="D5" s="3" t="s">
        <v>49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135</v>
      </c>
      <c r="O5" s="3" t="s">
        <v>136</v>
      </c>
      <c r="P5" s="3" t="s">
        <v>73</v>
      </c>
      <c r="Q5" s="3" t="s">
        <v>118</v>
      </c>
    </row>
    <row r="6" spans="2:22" ht="18.5" x14ac:dyDescent="0.45">
      <c r="B6" s="6">
        <v>1</v>
      </c>
      <c r="C6" s="6" t="s">
        <v>31</v>
      </c>
      <c r="D6" s="7">
        <f>IFERROR(VLOOKUP($C6,'Etapa 1 Masculino'!$E$3:$G$99,3,FALSE),0)</f>
        <v>250</v>
      </c>
      <c r="E6" s="7">
        <f>IFERROR(VLOOKUP($C6,'Etapa 2 Masculina'!$E$3:$G$99,3,FALSE),0)</f>
        <v>250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 cm="1">
        <f t="array" ref="P6">SUM(LARGE(D6:O6,{1;2;3;4;5;6;7;8}))</f>
        <v>500</v>
      </c>
      <c r="Q6" s="13" cm="1">
        <f t="array" ref="Q6">SUM(LARGE(CHOOSE({1,2,3,4,5,6,7,8,9,10}, D6, E6, F6, G6, H6, I6, J6, K6, L6, 250), {1,2,3,4,5,6,7}))</f>
        <v>750</v>
      </c>
      <c r="U6" s="11" t="s">
        <v>119</v>
      </c>
      <c r="V6" s="11" t="s">
        <v>120</v>
      </c>
    </row>
    <row r="7" spans="2:22" ht="18.5" x14ac:dyDescent="0.45">
      <c r="B7" s="6">
        <f>ROW() - ROW($B$6) + 1</f>
        <v>2</v>
      </c>
      <c r="C7" s="6" t="s">
        <v>90</v>
      </c>
      <c r="D7" s="7">
        <f>IFERROR(VLOOKUP($C7,'Etapa 1 Masculino'!$E$3:$G$99,3,FALSE),0)</f>
        <v>200</v>
      </c>
      <c r="E7" s="7">
        <f>IFERROR(VLOOKUP($C7,'Etapa 2 Masculina'!$E$3:$G$99,3,FALSE),0)</f>
        <v>230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 cm="1">
        <f t="array" ref="P7">SUM(LARGE(D7:O7,{1;2;3;4;5;6;7;8}))</f>
        <v>430</v>
      </c>
      <c r="Q7" s="6" cm="1">
        <f t="array" ref="Q7">SUM(LARGE(CHOOSE({1,2,3,4,5,6,7,8,9,10}, D7, E7, F7, G7, H7, I7, J7, K7, L7, 250), {1,2,3,4,5,6,7}))</f>
        <v>680</v>
      </c>
      <c r="U7" s="11" t="s">
        <v>121</v>
      </c>
      <c r="V7" s="11" t="s">
        <v>122</v>
      </c>
    </row>
    <row r="8" spans="2:22" ht="18.5" x14ac:dyDescent="0.45">
      <c r="B8" s="6">
        <f t="shared" ref="B8:B52" si="0">ROW() - ROW($B$6) + 1</f>
        <v>3</v>
      </c>
      <c r="C8" s="6" t="s">
        <v>63</v>
      </c>
      <c r="D8" s="7">
        <f>IFERROR(VLOOKUP($C8,'Etapa 1 Masculino'!$E$3:$G$99,3,FALSE),0)</f>
        <v>230</v>
      </c>
      <c r="E8" s="7">
        <f>IFERROR(VLOOKUP($C8,'Etapa 2 Masculina'!$E$3:$G$99,3,FALSE),0)</f>
        <v>190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 cm="1">
        <f t="array" ref="P8">SUM(LARGE(D8:O8,{1;2;3;4;5;6;7;8}))</f>
        <v>420</v>
      </c>
      <c r="Q8" s="15" cm="1">
        <f t="array" ref="Q8">SUM(LARGE(CHOOSE({1,2,3,4,5,6,7,8,9,10}, D8, E8, F8, G8, H8, I8, J8, K8, L8, 250), {1,2,3,4,5,6,7}))</f>
        <v>670</v>
      </c>
      <c r="U8" s="11" t="s">
        <v>123</v>
      </c>
      <c r="V8" s="11" t="s">
        <v>124</v>
      </c>
    </row>
    <row r="9" spans="2:22" ht="18.5" x14ac:dyDescent="0.45">
      <c r="B9" s="6">
        <f t="shared" si="0"/>
        <v>4</v>
      </c>
      <c r="C9" s="6" t="s">
        <v>38</v>
      </c>
      <c r="D9" s="7">
        <f>IFERROR(VLOOKUP($C9,'Etapa 1 Masculino'!$E$3:$G$99,3,FALSE),0)</f>
        <v>190</v>
      </c>
      <c r="E9" s="7">
        <f>IFERROR(VLOOKUP($C9,'Etapa 2 Masculina'!$E$3:$G$99,3,FALSE),0)</f>
        <v>215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 cm="1">
        <f t="array" ref="P9">SUM(LARGE(D9:O9,{1;2;3;4;5;6;7;8}))</f>
        <v>405</v>
      </c>
      <c r="Q9" s="6" cm="1">
        <f t="array" ref="Q9">SUM(LARGE(CHOOSE({1,2,3,4,5,6,7,8,9,10}, D9, E9, F9, G9, H9, I9, J9, K9, L9, 250), {1,2,3,4,5,6,7}))</f>
        <v>655</v>
      </c>
    </row>
    <row r="10" spans="2:22" ht="18.5" x14ac:dyDescent="0.45">
      <c r="B10" s="6">
        <f t="shared" si="0"/>
        <v>5</v>
      </c>
      <c r="C10" s="6" t="s">
        <v>140</v>
      </c>
      <c r="D10" s="7">
        <f>IFERROR(VLOOKUP($C10,'Etapa 1 Masculino'!$E$3:$G$99,3,FALSE),0)</f>
        <v>215</v>
      </c>
      <c r="E10" s="7">
        <f>IFERROR(VLOOKUP($C10,'Etapa 2 Masculina'!$E$3:$G$99,3,FALSE),0)</f>
        <v>165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 cm="1">
        <f t="array" ref="P10">SUM(LARGE(D10:O10,{1;2;3;4;5;6;7;8}))</f>
        <v>380</v>
      </c>
      <c r="Q10" s="8" cm="1">
        <f t="array" ref="Q10">SUM(LARGE(CHOOSE({1,2,3,4,5,6,7,8,9,10}, D10, E10, F10, G10, H10, I10, J10, K10, L10, 250), {1,2,3,4,5,6,7}))</f>
        <v>630</v>
      </c>
    </row>
    <row r="11" spans="2:22" ht="18.5" x14ac:dyDescent="0.45">
      <c r="B11" s="6">
        <f t="shared" si="0"/>
        <v>6</v>
      </c>
      <c r="C11" s="6" t="s">
        <v>27</v>
      </c>
      <c r="D11" s="7">
        <f>IFERROR(VLOOKUP($C11,'Etapa 1 Masculino'!$E$3:$G$99,3,FALSE),0)</f>
        <v>180</v>
      </c>
      <c r="E11" s="7">
        <f>IFERROR(VLOOKUP($C11,'Etapa 2 Masculina'!$E$3:$G$99,3,FALSE),0)</f>
        <v>180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 cm="1">
        <f t="array" ref="P11">SUM(LARGE(D11:O11,{1;2;3;4;5;6;7;8}))</f>
        <v>360</v>
      </c>
      <c r="Q11" s="8" cm="1">
        <f t="array" ref="Q11">SUM(LARGE(CHOOSE({1,2,3,4,5,6,7,8,9,10}, D11, E11, F11, G11, H11, I11, J11, K11, L11, 250), {1,2,3,4,5,6,7}))</f>
        <v>610</v>
      </c>
    </row>
    <row r="12" spans="2:22" ht="18.5" x14ac:dyDescent="0.45">
      <c r="B12" s="6">
        <f t="shared" si="0"/>
        <v>7</v>
      </c>
      <c r="C12" s="6" t="s">
        <v>9</v>
      </c>
      <c r="D12" s="7">
        <f>IFERROR(VLOOKUP($C12,'Etapa 1 Masculino'!$E$3:$G$99,3,FALSE),0)</f>
        <v>170</v>
      </c>
      <c r="E12" s="7">
        <f>IFERROR(VLOOKUP($C12,'Etapa 2 Masculina'!$E$3:$G$99,3,FALSE),0)</f>
        <v>120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 cm="1">
        <f t="array" ref="P12">SUM(LARGE(D12:O12,{1;2;3;4;5;6;7;8}))</f>
        <v>290</v>
      </c>
      <c r="Q12" s="15" cm="1">
        <f t="array" ref="Q12">SUM(LARGE(CHOOSE({1,2,3,4,5,6,7,8,9,10}, D12, E12, F12, G12, H12, I12, J12, K12, L12, 250), {1,2,3,4,5,6,7}))</f>
        <v>540</v>
      </c>
    </row>
    <row r="13" spans="2:22" ht="18.5" x14ac:dyDescent="0.45">
      <c r="B13" s="6">
        <f t="shared" si="0"/>
        <v>8</v>
      </c>
      <c r="C13" s="6" t="s">
        <v>88</v>
      </c>
      <c r="D13" s="7">
        <f>IFERROR(VLOOKUP($C13,'Etapa 1 Masculino'!$E$3:$G$99,3,FALSE),0)</f>
        <v>125</v>
      </c>
      <c r="E13" s="7">
        <f>IFERROR(VLOOKUP($C13,'Etapa 2 Masculina'!$E$3:$G$99,3,FALSE),0)</f>
        <v>130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 cm="1">
        <f t="array" ref="P13">SUM(LARGE(D13:O13,{1;2;3;4;5;6;7;8}))</f>
        <v>255</v>
      </c>
      <c r="Q13" s="6" cm="1">
        <f t="array" ref="Q13">SUM(LARGE(CHOOSE({1,2,3,4,5,6,7,8,9,10}, D13, E13, F13, G13, H13, I13, J13, K13, L13, 250), {1,2,3,4,5,6,7}))</f>
        <v>505</v>
      </c>
    </row>
    <row r="14" spans="2:22" ht="18.5" x14ac:dyDescent="0.45">
      <c r="B14" s="6">
        <f t="shared" si="0"/>
        <v>9</v>
      </c>
      <c r="C14" s="6" t="s">
        <v>82</v>
      </c>
      <c r="D14" s="7">
        <f>IFERROR(VLOOKUP($C14,'Etapa 1 Masculino'!$E$3:$G$99,3,FALSE),0)</f>
        <v>105</v>
      </c>
      <c r="E14" s="7">
        <f>IFERROR(VLOOKUP($C14,'Etapa 2 Masculina'!$E$3:$G$99,3,FALSE),0)</f>
        <v>150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 cm="1">
        <f t="array" ref="P14">SUM(LARGE(D14:O14,{1;2;3;4;5;6;7;8}))</f>
        <v>255</v>
      </c>
      <c r="Q14" s="6" cm="1">
        <f t="array" ref="Q14">SUM(LARGE(CHOOSE({1,2,3,4,5,6,7,8,9,10}, D14, E14, F14, G14, H14, I14, J14, K14, L14, 250), {1,2,3,4,5,6,7}))</f>
        <v>505</v>
      </c>
    </row>
    <row r="15" spans="2:22" ht="18.5" x14ac:dyDescent="0.45">
      <c r="B15" s="6">
        <f t="shared" si="0"/>
        <v>10</v>
      </c>
      <c r="C15" s="6" t="s">
        <v>94</v>
      </c>
      <c r="D15" s="7">
        <f>IFERROR(VLOOKUP($C15,'Etapa 1 Masculino'!$E$3:$G$99,3,FALSE),0)</f>
        <v>85</v>
      </c>
      <c r="E15" s="7">
        <f>IFERROR(VLOOKUP($C15,'Etapa 2 Masculina'!$E$3:$G$99,3,FALSE),0)</f>
        <v>165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 cm="1">
        <f t="array" ref="P15">SUM(LARGE(D15:O15,{1;2;3;4;5;6;7;8}))</f>
        <v>250</v>
      </c>
      <c r="Q15" s="6" cm="1">
        <f t="array" ref="Q15">SUM(LARGE(CHOOSE({1,2,3,4,5,6,7,8,9,10}, D15, E15, F15, G15, H15, I15, J15, K15, L15, 250), {1,2,3,4,5,6,7}))</f>
        <v>500</v>
      </c>
    </row>
    <row r="16" spans="2:22" ht="18.5" x14ac:dyDescent="0.45">
      <c r="B16" s="6">
        <f t="shared" si="0"/>
        <v>11</v>
      </c>
      <c r="C16" s="6" t="s">
        <v>58</v>
      </c>
      <c r="D16" s="7">
        <f>IFERROR(VLOOKUP($C16,'Etapa 1 Masculino'!$E$3:$G$99,3,FALSE),0)</f>
        <v>105</v>
      </c>
      <c r="E16" s="7">
        <f>IFERROR(VLOOKUP($C16,'Etapa 2 Masculina'!$E$3:$G$99,3,FALSE),0)</f>
        <v>140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 cm="1">
        <f t="array" ref="P16">SUM(LARGE(D16:O16,{1;2;3;4;5;6;7;8}))</f>
        <v>245</v>
      </c>
      <c r="Q16" s="6" cm="1">
        <f t="array" ref="Q16">SUM(LARGE(CHOOSE({1,2,3,4,5,6,7,8,9,10}, D16, E16, F16, G16, H16, I16, J16, K16, L16, 250), {1,2,3,4,5,6,7}))</f>
        <v>495</v>
      </c>
    </row>
    <row r="17" spans="2:17" ht="18.5" x14ac:dyDescent="0.45">
      <c r="B17" s="6">
        <f t="shared" si="0"/>
        <v>12</v>
      </c>
      <c r="C17" s="6" t="s">
        <v>76</v>
      </c>
      <c r="D17" s="7">
        <f>IFERROR(VLOOKUP($C17,'Etapa 1 Masculino'!$E$3:$G$99,3,FALSE),0)</f>
        <v>145</v>
      </c>
      <c r="E17" s="7">
        <f>IFERROR(VLOOKUP($C17,'Etapa 2 Masculina'!$E$3:$G$99,3,FALSE),0)</f>
        <v>80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 cm="1">
        <f t="array" ref="P17">SUM(LARGE(D17:O17,{1;2;3;4;5;6;7;8}))</f>
        <v>225</v>
      </c>
      <c r="Q17" s="6" cm="1">
        <f t="array" ref="Q17">SUM(LARGE(CHOOSE({1,2,3,4,5,6,7,8,9,10}, D17, E17, F17, G17, H17, I17, J17, K17, L17, 250), {1,2,3,4,5,6,7}))</f>
        <v>475</v>
      </c>
    </row>
    <row r="18" spans="2:17" ht="18.5" x14ac:dyDescent="0.45">
      <c r="B18" s="6">
        <f t="shared" si="0"/>
        <v>13</v>
      </c>
      <c r="C18" s="6" t="s">
        <v>20</v>
      </c>
      <c r="D18" s="7">
        <f>IFERROR(VLOOKUP($C18,'Etapa 1 Masculino'!$E$3:$G$99,3,FALSE),0)</f>
        <v>0</v>
      </c>
      <c r="E18" s="7">
        <f>IFERROR(VLOOKUP($C18,'Etapa 2 Masculina'!$E$3:$G$99,3,FALSE),0)</f>
        <v>200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 cm="1">
        <f t="array" ref="P18">SUM(LARGE(D18:O18,{1;2;3;4;5;6;7;8}))</f>
        <v>200</v>
      </c>
      <c r="Q18" s="6" cm="1">
        <f t="array" ref="Q18">SUM(LARGE(CHOOSE({1,2,3,4,5,6,7,8,9,10}, D18, E18, F18, G18, H18, I18, J18, K18, L18, 250), {1,2,3,4,5,6,7}))</f>
        <v>450</v>
      </c>
    </row>
    <row r="19" spans="2:17" ht="18.5" x14ac:dyDescent="0.45">
      <c r="B19" s="6">
        <f t="shared" si="0"/>
        <v>14</v>
      </c>
      <c r="C19" s="6" t="s">
        <v>22</v>
      </c>
      <c r="D19" s="7">
        <f>IFERROR(VLOOKUP($C19,'Etapa 1 Masculino'!$E$3:$G$99,3,FALSE),0)</f>
        <v>90</v>
      </c>
      <c r="E19" s="7">
        <f>IFERROR(VLOOKUP($C19,'Etapa 2 Masculina'!$E$3:$G$99,3,FALSE),0)</f>
        <v>100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 cm="1">
        <f t="array" ref="P19">SUM(LARGE(D19:O19,{1;2;3;4;5;6;7;8}))</f>
        <v>190</v>
      </c>
      <c r="Q19" s="6" cm="1">
        <f t="array" ref="Q19">SUM(LARGE(CHOOSE({1,2,3,4,5,6,7,8,9,10}, D19, E19, F19, G19, H19, I19, J19, K19, L19, 250), {1,2,3,4,5,6,7}))</f>
        <v>440</v>
      </c>
    </row>
    <row r="20" spans="2:17" ht="18.5" x14ac:dyDescent="0.45">
      <c r="B20" s="6">
        <f t="shared" si="0"/>
        <v>15</v>
      </c>
      <c r="C20" s="6" t="s">
        <v>109</v>
      </c>
      <c r="D20" s="7">
        <f>IFERROR(VLOOKUP($C20,'Etapa 1 Masculino'!$E$3:$G$99,3,FALSE),0)</f>
        <v>95</v>
      </c>
      <c r="E20" s="7">
        <f>IFERROR(VLOOKUP($C20,'Etapa 2 Masculina'!$E$3:$G$99,3,FALSE),0)</f>
        <v>85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 cm="1">
        <f t="array" ref="P20">SUM(LARGE(D20:O20,{1;2;3;4;5;6;7;8}))</f>
        <v>180</v>
      </c>
      <c r="Q20" s="6" cm="1">
        <f t="array" ref="Q20">SUM(LARGE(CHOOSE({1,2,3,4,5,6,7,8,9,10}, D20, E20, F20, G20, H20, I20, J20, K20, L20, 250), {1,2,3,4,5,6,7}))</f>
        <v>430</v>
      </c>
    </row>
    <row r="21" spans="2:17" ht="18.5" x14ac:dyDescent="0.45">
      <c r="B21" s="6">
        <f t="shared" si="0"/>
        <v>16</v>
      </c>
      <c r="C21" s="6" t="s">
        <v>60</v>
      </c>
      <c r="D21" s="7">
        <f>IFERROR(VLOOKUP($C21,'Etapa 1 Masculino'!$E$3:$G$99,3,FALSE),0)</f>
        <v>160</v>
      </c>
      <c r="E21" s="7">
        <f>IFERROR(VLOOKUP($C21,'Etapa 2 Masculina'!$E$3:$G$99,3,FALSE),0)</f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 cm="1">
        <f t="array" ref="P21">SUM(LARGE(D21:O21,{1;2;3;4;5;6;7;8}))</f>
        <v>160</v>
      </c>
      <c r="Q21" s="6" cm="1">
        <f t="array" ref="Q21">SUM(LARGE(CHOOSE({1,2,3,4,5,6,7,8,9,10}, D21, E21, F21, G21, H21, I21, J21, K21, L21, 250), {1,2,3,4,5,6,7}))</f>
        <v>410</v>
      </c>
    </row>
    <row r="22" spans="2:17" ht="18.5" x14ac:dyDescent="0.45">
      <c r="B22" s="6">
        <f t="shared" si="0"/>
        <v>17</v>
      </c>
      <c r="C22" s="6" t="s">
        <v>37</v>
      </c>
      <c r="D22" s="7">
        <f>IFERROR(VLOOKUP($C22,'Etapa 1 Masculino'!$E$3:$G$99,3,FALSE),0)</f>
        <v>145</v>
      </c>
      <c r="E22" s="7">
        <f>IFERROR(VLOOKUP($C22,'Etapa 2 Masculina'!$E$3:$G$99,3,FALSE),0)</f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 cm="1">
        <f t="array" ref="P22">SUM(LARGE(D22:O22,{1;2;3;4;5;6;7;8}))</f>
        <v>145</v>
      </c>
      <c r="Q22" s="6" cm="1">
        <f t="array" ref="Q22">SUM(LARGE(CHOOSE({1,2,3,4,5,6,7,8,9,10}, D22, E22, F22, G22, H22, I22, J22, K22, L22, 250), {1,2,3,4,5,6,7}))</f>
        <v>395</v>
      </c>
    </row>
    <row r="23" spans="2:17" ht="18.5" x14ac:dyDescent="0.45">
      <c r="B23" s="6">
        <f t="shared" si="0"/>
        <v>18</v>
      </c>
      <c r="C23" s="6" t="s">
        <v>106</v>
      </c>
      <c r="D23" s="7">
        <f>IFERROR(VLOOKUP($C23,'Etapa 1 Masculino'!$E$3:$G$99,3,FALSE),0)</f>
        <v>75</v>
      </c>
      <c r="E23" s="7">
        <f>IFERROR(VLOOKUP($C23,'Etapa 2 Masculina'!$E$3:$G$99,3,FALSE),0)</f>
        <v>62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 cm="1">
        <f t="array" ref="P23">SUM(LARGE(D23:O23,{1;2;3;4;5;6;7;8}))</f>
        <v>137</v>
      </c>
      <c r="Q23" s="6" cm="1">
        <f t="array" ref="Q23">SUM(LARGE(CHOOSE({1,2,3,4,5,6,7,8,9,10}, D23, E23, F23, G23, H23, I23, J23, K23, L23, 250), {1,2,3,4,5,6,7}))</f>
        <v>387</v>
      </c>
    </row>
    <row r="24" spans="2:17" ht="18.5" x14ac:dyDescent="0.45">
      <c r="B24" s="6">
        <f t="shared" si="0"/>
        <v>19</v>
      </c>
      <c r="C24" s="6" t="s">
        <v>138</v>
      </c>
      <c r="D24" s="7">
        <f>IFERROR(VLOOKUP($C24,'Etapa 1 Masculino'!$E$3:$G$99,3,FALSE),0)</f>
        <v>70</v>
      </c>
      <c r="E24" s="7">
        <f>IFERROR(VLOOKUP($C24,'Etapa 2 Masculina'!$E$3:$G$99,3,FALSE),0)</f>
        <v>66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 cm="1">
        <f t="array" ref="P24">SUM(LARGE(D24:O24,{1;2;3;4;5;6;7;8}))</f>
        <v>136</v>
      </c>
      <c r="Q24" s="6" cm="1">
        <f t="array" ref="Q24">SUM(LARGE(CHOOSE({1,2,3,4,5,6,7,8,9,10}, D24, E24, F24, G24, H24, I24, J24, K24, L24, 250), {1,2,3,4,5,6,7}))</f>
        <v>386</v>
      </c>
    </row>
    <row r="25" spans="2:17" ht="18.5" x14ac:dyDescent="0.45">
      <c r="B25" s="6">
        <f t="shared" si="0"/>
        <v>20</v>
      </c>
      <c r="C25" s="6" t="s">
        <v>104</v>
      </c>
      <c r="D25" s="7">
        <f>IFERROR(VLOOKUP($C25,'Etapa 1 Masculino'!$E$3:$G$99,3,FALSE),0)</f>
        <v>125</v>
      </c>
      <c r="E25" s="7">
        <f>IFERROR(VLOOKUP($C25,'Etapa 2 Masculina'!$E$3:$G$99,3,FALSE),0)</f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 cm="1">
        <f t="array" ref="P25">SUM(LARGE(D25:O25,{1;2;3;4;5;6;7;8}))</f>
        <v>125</v>
      </c>
      <c r="Q25" s="6" cm="1">
        <f t="array" ref="Q25">SUM(LARGE(CHOOSE({1,2,3,4,5,6,7,8,9,10}, D25, E25, F25, G25, H25, I25, J25, K25, L25, 250), {1,2,3,4,5,6,7}))</f>
        <v>375</v>
      </c>
    </row>
    <row r="26" spans="2:17" ht="18.5" x14ac:dyDescent="0.45">
      <c r="B26" s="6">
        <f t="shared" si="0"/>
        <v>21</v>
      </c>
      <c r="C26" s="6" t="s">
        <v>19</v>
      </c>
      <c r="D26" s="7">
        <f>IFERROR(VLOOKUP($C26,'Etapa 1 Masculino'!$E$3:$G$99,3,FALSE),0)</f>
        <v>0</v>
      </c>
      <c r="E26" s="7">
        <f>IFERROR(VLOOKUP($C26,'Etapa 2 Masculina'!$E$3:$G$99,3,FALSE),0)</f>
        <v>110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 cm="1">
        <f t="array" ref="P26">SUM(LARGE(D26:O26,{1;2;3;4;5;6;7;8}))</f>
        <v>110</v>
      </c>
      <c r="Q26" s="6" cm="1">
        <f t="array" ref="Q26">SUM(LARGE(CHOOSE({1,2,3,4,5,6,7,8,9,10}, D26, E26, F26, G26, H26, I26, J26, K26, L26, 250), {1,2,3,4,5,6,7}))</f>
        <v>360</v>
      </c>
    </row>
    <row r="27" spans="2:17" ht="18.5" x14ac:dyDescent="0.45">
      <c r="B27" s="6">
        <f t="shared" si="0"/>
        <v>22</v>
      </c>
      <c r="C27" s="6" t="s">
        <v>86</v>
      </c>
      <c r="D27" s="7">
        <f>IFERROR(VLOOKUP($C27,'Etapa 1 Masculino'!$E$3:$G$99,3,FALSE),0)</f>
        <v>0</v>
      </c>
      <c r="E27" s="7">
        <f>IFERROR(VLOOKUP($C27,'Etapa 2 Masculina'!$E$3:$G$99,3,FALSE),0)</f>
        <v>92.5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 cm="1">
        <f t="array" ref="P27">SUM(LARGE(D27:O27,{1;2;3;4;5;6;7;8}))</f>
        <v>92.5</v>
      </c>
      <c r="Q27" s="6" cm="1">
        <f t="array" ref="Q27">SUM(LARGE(CHOOSE({1,2,3,4,5,6,7,8,9,10}, D27, E27, F27, G27, H27, I27, J27, K27, L27, 250), {1,2,3,4,5,6,7}))</f>
        <v>342.5</v>
      </c>
    </row>
    <row r="28" spans="2:17" ht="18.5" x14ac:dyDescent="0.45">
      <c r="B28" s="6">
        <f t="shared" si="0"/>
        <v>23</v>
      </c>
      <c r="C28" s="17" t="s">
        <v>143</v>
      </c>
      <c r="D28" s="7">
        <f>IFERROR(VLOOKUP($C28,'Etapa 1 Masculino'!$E$3:$G$99,3,FALSE),0)</f>
        <v>0</v>
      </c>
      <c r="E28" s="7">
        <f>IFERROR(VLOOKUP($C28,'Etapa 2 Masculina'!$E$3:$G$99,3,FALSE),0)</f>
        <v>92.5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18" cm="1">
        <f t="array" ref="P28">SUM(LARGE(D28:O28,{1;2;3;4;5;6;7;8}))</f>
        <v>92.5</v>
      </c>
      <c r="Q28" s="19" cm="1">
        <f t="array" ref="Q28">SUM(LARGE(CHOOSE({1,2,3,4,5,6,7,8,9,10}, D28, E28, F28, G28, H28, I28, J28, K28, L28, 250), {1,2,3,4,5,6,7}))</f>
        <v>342.5</v>
      </c>
    </row>
    <row r="29" spans="2:17" ht="18.5" x14ac:dyDescent="0.45">
      <c r="B29" s="6">
        <f t="shared" si="0"/>
        <v>24</v>
      </c>
      <c r="C29" s="6" t="s">
        <v>29</v>
      </c>
      <c r="D29" s="7">
        <f>IFERROR(VLOOKUP($C29,'Etapa 1 Masculino'!$E$3:$G$99,3,FALSE),0)</f>
        <v>80</v>
      </c>
      <c r="E29" s="7">
        <f>IFERROR(VLOOKUP($C29,'Etapa 2 Masculina'!$E$3:$G$99,3,FALSE),0)</f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 cm="1">
        <f t="array" ref="P29">SUM(LARGE(D29:O29,{1;2;3;4;5;6;7;8}))</f>
        <v>80</v>
      </c>
      <c r="Q29" s="6" cm="1">
        <f t="array" ref="Q29">SUM(LARGE(CHOOSE({1,2,3,4,5,6,7,8,9,10}, D29, E29, F29, G29, H29, I29, J29, K29, L29, 250), {1,2,3,4,5,6,7}))</f>
        <v>330</v>
      </c>
    </row>
    <row r="30" spans="2:17" ht="18.5" x14ac:dyDescent="0.45">
      <c r="B30" s="6">
        <f t="shared" si="0"/>
        <v>25</v>
      </c>
      <c r="C30" s="17" t="s">
        <v>144</v>
      </c>
      <c r="D30" s="7">
        <f>IFERROR(VLOOKUP($C30,'Etapa 1 Masculino'!$E$3:$G$99,3,FALSE),0)</f>
        <v>0</v>
      </c>
      <c r="E30" s="7">
        <f>IFERROR(VLOOKUP($C30,'Etapa 2 Masculina'!$E$3:$G$99,3,FALSE),0)</f>
        <v>75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18" cm="1">
        <f t="array" ref="P30">SUM(LARGE(D30:O30,{1;2;3;4;5;6;7;8}))</f>
        <v>75</v>
      </c>
      <c r="Q30" s="19" cm="1">
        <f t="array" ref="Q30">SUM(LARGE(CHOOSE({1,2,3,4,5,6,7,8,9,10}, D30, E30, F30, G30, H30, I30, J30, K30, L30, 250), {1,2,3,4,5,6,7}))</f>
        <v>325</v>
      </c>
    </row>
    <row r="31" spans="2:17" ht="18.5" x14ac:dyDescent="0.45">
      <c r="B31" s="6">
        <f t="shared" si="0"/>
        <v>26</v>
      </c>
      <c r="C31" s="6" t="s">
        <v>25</v>
      </c>
      <c r="D31" s="7">
        <f>IFERROR(VLOOKUP($C31,'Etapa 1 Masculino'!$E$3:$G$99,3,FALSE),0)</f>
        <v>0</v>
      </c>
      <c r="E31" s="7">
        <f>IFERROR(VLOOKUP($C31,'Etapa 2 Masculina'!$E$3:$G$99,3,FALSE),0)</f>
        <v>70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 cm="1">
        <f t="array" ref="P31">SUM(LARGE(D31:O31,{1;2;3;4;5;6;7;8}))</f>
        <v>70</v>
      </c>
      <c r="Q31" s="6" cm="1">
        <f t="array" ref="Q31">SUM(LARGE(CHOOSE({1,2,3,4,5,6,7,8,9,10}, D31, E31, F31, G31, H31, I31, J31, K31, L31, 250), {1,2,3,4,5,6,7}))</f>
        <v>320</v>
      </c>
    </row>
    <row r="32" spans="2:17" ht="18.5" x14ac:dyDescent="0.45">
      <c r="B32" s="6">
        <f t="shared" si="0"/>
        <v>27</v>
      </c>
      <c r="C32" s="6" t="s">
        <v>116</v>
      </c>
      <c r="D32" s="7">
        <f>IFERROR(VLOOKUP($C32,'Etapa 1 Masculino'!$E$3:$G$99,3,FALSE),0)</f>
        <v>0</v>
      </c>
      <c r="E32" s="7">
        <f>IFERROR(VLOOKUP($C32,'Etapa 2 Masculina'!$E$3:$G$99,3,FALSE),0)</f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 cm="1">
        <f t="array" ref="P32">SUM(LARGE(D32:O32,{1;2;3;4;5;6;7;8}))</f>
        <v>0</v>
      </c>
      <c r="Q32" s="6" cm="1">
        <f t="array" ref="Q32">SUM(LARGE(CHOOSE({1,2,3,4,5,6,7,8,9,10}, D32, E32, F32, G32, H32, I32, J32, K32, L32, 250), {1,2,3,4,5,6,7}))</f>
        <v>250</v>
      </c>
    </row>
    <row r="33" spans="2:17" ht="18.5" x14ac:dyDescent="0.45">
      <c r="B33" s="6">
        <f t="shared" si="0"/>
        <v>28</v>
      </c>
      <c r="C33" s="6" t="s">
        <v>11</v>
      </c>
      <c r="D33" s="7">
        <f>IFERROR(VLOOKUP($C33,'Etapa 1 Masculino'!$E$3:$G$99,3,FALSE),0)</f>
        <v>0</v>
      </c>
      <c r="E33" s="7">
        <f>IFERROR(VLOOKUP($C33,'Etapa 2 Masculina'!$E$3:$G$99,3,FALSE),0)</f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 cm="1">
        <f t="array" ref="P33">SUM(LARGE(D33:O33,{1;2;3;4;5;6;7;8}))</f>
        <v>0</v>
      </c>
      <c r="Q33" s="6" cm="1">
        <f t="array" ref="Q33">SUM(LARGE(CHOOSE({1,2,3,4,5,6,7,8,9,10}, D33, E33, F33, G33, H33, I33, J33, K33, L33, 250), {1,2,3,4,5,6,7}))</f>
        <v>250</v>
      </c>
    </row>
    <row r="34" spans="2:17" ht="18.5" x14ac:dyDescent="0.45">
      <c r="B34" s="6">
        <f t="shared" si="0"/>
        <v>29</v>
      </c>
      <c r="C34" s="6" t="s">
        <v>15</v>
      </c>
      <c r="D34" s="7">
        <f>IFERROR(VLOOKUP($C34,'Etapa 1 Masculino'!$E$3:$G$99,3,FALSE),0)</f>
        <v>0</v>
      </c>
      <c r="E34" s="7">
        <f>IFERROR(VLOOKUP($C34,'Etapa 2 Masculina'!$E$3:$G$99,3,FALSE),0)</f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 cm="1">
        <f t="array" ref="P34">SUM(LARGE(D34:O34,{1;2;3;4;5;6;7;8}))</f>
        <v>0</v>
      </c>
      <c r="Q34" s="6" cm="1">
        <f t="array" ref="Q34">SUM(LARGE(CHOOSE({1,2,3,4,5,6,7,8,9,10}, D34, E34, F34, G34, H34, I34, J34, K34, L34, 250), {1,2,3,4,5,6,7}))</f>
        <v>250</v>
      </c>
    </row>
    <row r="35" spans="2:17" ht="18.5" x14ac:dyDescent="0.45">
      <c r="B35" s="6">
        <f t="shared" si="0"/>
        <v>30</v>
      </c>
      <c r="C35" s="6" t="s">
        <v>13</v>
      </c>
      <c r="D35" s="7">
        <f>IFERROR(VLOOKUP($C35,'Etapa 1 Masculino'!$E$3:$G$99,3,FALSE),0)</f>
        <v>0</v>
      </c>
      <c r="E35" s="7">
        <f>IFERROR(VLOOKUP($C35,'Etapa 2 Masculina'!$E$3:$G$99,3,FALSE),0)</f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 cm="1">
        <f t="array" ref="P35">SUM(LARGE(D35:O35,{1;2;3;4;5;6;7;8}))</f>
        <v>0</v>
      </c>
      <c r="Q35" s="6" cm="1">
        <f t="array" ref="Q35">SUM(LARGE(CHOOSE({1,2,3,4,5,6,7,8,9,10}, D35, E35, F35, G35, H35, I35, J35, K35, L35, 250), {1,2,3,4,5,6,7}))</f>
        <v>250</v>
      </c>
    </row>
    <row r="36" spans="2:17" ht="18.5" x14ac:dyDescent="0.45">
      <c r="B36" s="6">
        <f t="shared" si="0"/>
        <v>31</v>
      </c>
      <c r="C36" s="6" t="s">
        <v>35</v>
      </c>
      <c r="D36" s="7">
        <f>IFERROR(VLOOKUP($C36,'Etapa 1 Masculino'!$E$3:$G$99,3,FALSE),0)</f>
        <v>0</v>
      </c>
      <c r="E36" s="7">
        <f>IFERROR(VLOOKUP($C36,'Etapa 2 Masculina'!$E$3:$G$99,3,FALSE),0)</f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 cm="1">
        <f t="array" ref="P36">SUM(LARGE(D36:O36,{1;2;3;4;5;6;7;8}))</f>
        <v>0</v>
      </c>
      <c r="Q36" s="6" cm="1">
        <f t="array" ref="Q36">SUM(LARGE(CHOOSE({1,2,3,4,5,6,7,8,9,10}, D36, E36, F36, G36, H36, I36, J36, K36, L36, 250), {1,2,3,4,5,6,7}))</f>
        <v>250</v>
      </c>
    </row>
    <row r="37" spans="2:17" ht="18.5" x14ac:dyDescent="0.45">
      <c r="B37" s="6">
        <f t="shared" si="0"/>
        <v>32</v>
      </c>
      <c r="C37" s="6" t="s">
        <v>42</v>
      </c>
      <c r="D37" s="7">
        <f>IFERROR(VLOOKUP($C37,'Etapa 1 Masculino'!$E$3:$G$99,3,FALSE),0)</f>
        <v>0</v>
      </c>
      <c r="E37" s="7">
        <f>IFERROR(VLOOKUP($C37,'Etapa 2 Masculina'!$E$3:$G$99,3,FALSE),0)</f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 cm="1">
        <f t="array" ref="P37">SUM(LARGE(D37:O37,{1;2;3;4;5;6;7;8}))</f>
        <v>0</v>
      </c>
      <c r="Q37" s="6" cm="1">
        <f t="array" ref="Q37">SUM(LARGE(CHOOSE({1,2,3,4,5,6,7,8,9,10}, D37, E37, F37, G37, H37, I37, J37, K37, L37, 250), {1,2,3,4,5,6,7}))</f>
        <v>250</v>
      </c>
    </row>
    <row r="38" spans="2:17" ht="18.5" x14ac:dyDescent="0.45">
      <c r="B38" s="6">
        <f t="shared" si="0"/>
        <v>33</v>
      </c>
      <c r="C38" s="6" t="s">
        <v>33</v>
      </c>
      <c r="D38" s="7">
        <f>IFERROR(VLOOKUP($C38,'Etapa 1 Masculino'!$E$3:$G$99,3,FALSE),0)</f>
        <v>0</v>
      </c>
      <c r="E38" s="7">
        <f>IFERROR(VLOOKUP($C38,'Etapa 2 Masculina'!$E$3:$G$99,3,FALSE),0)</f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 cm="1">
        <f t="array" ref="P38">SUM(LARGE(D38:O38,{1;2;3;4;5;6;7;8}))</f>
        <v>0</v>
      </c>
      <c r="Q38" s="6" cm="1">
        <f t="array" ref="Q38">SUM(LARGE(CHOOSE({1,2,3,4,5,6,7,8,9,10}, D38, E38, F38, G38, H38, I38, J38, K38, L38, 250), {1,2,3,4,5,6,7}))</f>
        <v>250</v>
      </c>
    </row>
    <row r="39" spans="2:17" ht="18.5" x14ac:dyDescent="0.45">
      <c r="B39" s="6">
        <f t="shared" si="0"/>
        <v>34</v>
      </c>
      <c r="C39" s="6" t="s">
        <v>39</v>
      </c>
      <c r="D39" s="7">
        <f>IFERROR(VLOOKUP($C39,'Etapa 1 Masculino'!$E$3:$G$99,3,FALSE),0)</f>
        <v>0</v>
      </c>
      <c r="E39" s="7">
        <f>IFERROR(VLOOKUP($C39,'Etapa 2 Masculina'!$E$3:$G$99,3,FALSE),0)</f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 cm="1">
        <f t="array" ref="P39">SUM(LARGE(D39:O39,{1;2;3;4;5;6;7;8}))</f>
        <v>0</v>
      </c>
      <c r="Q39" s="6" cm="1">
        <f t="array" ref="Q39">SUM(LARGE(CHOOSE({1,2,3,4,5,6,7,8,9,10}, D39, E39, F39, G39, H39, I39, J39, K39, L39, 250), {1,2,3,4,5,6,7}))</f>
        <v>250</v>
      </c>
    </row>
    <row r="40" spans="2:17" ht="18.5" x14ac:dyDescent="0.45">
      <c r="B40" s="6">
        <f t="shared" si="0"/>
        <v>35</v>
      </c>
      <c r="C40" s="6" t="s">
        <v>100</v>
      </c>
      <c r="D40" s="7">
        <f>IFERROR(VLOOKUP($C40,'Etapa 1 Masculino'!$E$3:$G$99,3,FALSE),0)</f>
        <v>0</v>
      </c>
      <c r="E40" s="7">
        <f>IFERROR(VLOOKUP($C40,'Etapa 2 Masculina'!$E$3:$G$99,3,FALSE),0)</f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 cm="1">
        <f t="array" ref="P40">SUM(LARGE(D40:O40,{1;2;3;4;5;6;7;8}))</f>
        <v>0</v>
      </c>
      <c r="Q40" s="6" cm="1">
        <f t="array" ref="Q40">SUM(LARGE(CHOOSE({1,2,3,4,5,6,7,8,9,10}, D40, E40, F40, G40, H40, I40, J40, K40, L40, 250), {1,2,3,4,5,6,7}))</f>
        <v>250</v>
      </c>
    </row>
    <row r="41" spans="2:17" ht="18.5" x14ac:dyDescent="0.45">
      <c r="B41" s="6">
        <f t="shared" si="0"/>
        <v>36</v>
      </c>
      <c r="C41" s="6" t="s">
        <v>79</v>
      </c>
      <c r="D41" s="7">
        <f>IFERROR(VLOOKUP($C41,'Etapa 1 Masculino'!$E$3:$G$99,3,FALSE),0)</f>
        <v>0</v>
      </c>
      <c r="E41" s="7">
        <f>IFERROR(VLOOKUP($C41,'Etapa 2 Masculina'!$E$3:$G$99,3,FALSE),0)</f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 cm="1">
        <f t="array" ref="P41">SUM(LARGE(D41:O41,{1;2;3;4;5;6;7;8}))</f>
        <v>0</v>
      </c>
      <c r="Q41" s="6" cm="1">
        <f t="array" ref="Q41">SUM(LARGE(CHOOSE({1,2,3,4,5,6,7,8,9,10}, D41, E41, F41, G41, H41, I41, J41, K41, L41, 250), {1,2,3,4,5,6,7}))</f>
        <v>250</v>
      </c>
    </row>
    <row r="42" spans="2:17" ht="18.5" x14ac:dyDescent="0.45">
      <c r="B42" s="6">
        <f t="shared" si="0"/>
        <v>37</v>
      </c>
      <c r="C42" s="6" t="s">
        <v>7</v>
      </c>
      <c r="D42" s="7">
        <f>IFERROR(VLOOKUP($C42,'Etapa 1 Masculino'!$E$3:$G$99,3,FALSE),0)</f>
        <v>0</v>
      </c>
      <c r="E42" s="7">
        <f>IFERROR(VLOOKUP($C42,'Etapa 2 Masculina'!$E$3:$G$99,3,FALSE),0)</f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 cm="1">
        <f t="array" ref="P42">SUM(LARGE(D42:O42,{1;2;3;4;5;6;7;8}))</f>
        <v>0</v>
      </c>
      <c r="Q42" s="6" cm="1">
        <f t="array" ref="Q42">SUM(LARGE(CHOOSE({1,2,3,4,5,6,7,8,9,10}, D42, E42, F42, G42, H42, I42, J42, K42, L42, 250), {1,2,3,4,5,6,7}))</f>
        <v>250</v>
      </c>
    </row>
    <row r="43" spans="2:17" ht="18.5" x14ac:dyDescent="0.45">
      <c r="B43" s="6">
        <f t="shared" si="0"/>
        <v>38</v>
      </c>
      <c r="C43" s="6" t="s">
        <v>55</v>
      </c>
      <c r="D43" s="7">
        <f>IFERROR(VLOOKUP($C43,'Etapa 1 Masculino'!$E$3:$G$99,3,FALSE),0)</f>
        <v>0</v>
      </c>
      <c r="E43" s="7">
        <f>IFERROR(VLOOKUP($C43,'Etapa 2 Masculina'!$E$3:$G$99,3,FALSE),0)</f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 cm="1">
        <f t="array" ref="P43">SUM(LARGE(D43:O43,{1;2;3;4;5;6;7;8}))</f>
        <v>0</v>
      </c>
      <c r="Q43" s="6" cm="1">
        <f t="array" ref="Q43">SUM(LARGE(CHOOSE({1,2,3,4,5,6,7,8,9,10}, D43, E43, F43, G43, H43, I43, J43, K43, L43, 250), {1,2,3,4,5,6,7}))</f>
        <v>250</v>
      </c>
    </row>
    <row r="44" spans="2:17" ht="18.5" x14ac:dyDescent="0.45">
      <c r="B44" s="6">
        <f t="shared" si="0"/>
        <v>39</v>
      </c>
      <c r="C44" s="6" t="s">
        <v>112</v>
      </c>
      <c r="D44" s="7">
        <f>IFERROR(VLOOKUP($C44,'Etapa 1 Masculino'!$E$3:$G$99,3,FALSE),0)</f>
        <v>0</v>
      </c>
      <c r="E44" s="7">
        <f>IFERROR(VLOOKUP($C44,'Etapa 2 Masculina'!$E$3:$G$99,3,FALSE),0)</f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 cm="1">
        <f t="array" ref="P44">SUM(LARGE(D44:O44,{1;2;3;4;5;6;7;8}))</f>
        <v>0</v>
      </c>
      <c r="Q44" s="6" cm="1">
        <f t="array" ref="Q44">SUM(LARGE(CHOOSE({1,2,3,4,5,6,7,8,9,10}, D44, E44, F44, G44, H44, I44, J44, K44, L44, 250), {1,2,3,4,5,6,7}))</f>
        <v>250</v>
      </c>
    </row>
    <row r="45" spans="2:17" ht="18.5" x14ac:dyDescent="0.45">
      <c r="B45" s="6">
        <f t="shared" si="0"/>
        <v>40</v>
      </c>
      <c r="C45" s="6" t="s">
        <v>114</v>
      </c>
      <c r="D45" s="7">
        <f>IFERROR(VLOOKUP($C45,'Etapa 1 Masculino'!$E$3:$G$99,3,FALSE),0)</f>
        <v>0</v>
      </c>
      <c r="E45" s="7">
        <f>IFERROR(VLOOKUP($C45,'Etapa 2 Masculina'!$E$3:$G$99,3,FALSE),0)</f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 cm="1">
        <f t="array" ref="P45">SUM(LARGE(D45:O45,{1;2;3;4;5;6;7;8}))</f>
        <v>0</v>
      </c>
      <c r="Q45" s="6" cm="1">
        <f t="array" ref="Q45">SUM(LARGE(CHOOSE({1,2,3,4,5,6,7,8,9,10}, D45, E45, F45, G45, H45, I45, J45, K45, L45, 250), {1,2,3,4,5,6,7}))</f>
        <v>250</v>
      </c>
    </row>
    <row r="46" spans="2:17" ht="18.5" x14ac:dyDescent="0.45">
      <c r="B46" s="6">
        <f t="shared" si="0"/>
        <v>41</v>
      </c>
      <c r="C46" s="6" t="s">
        <v>16</v>
      </c>
      <c r="D46" s="7">
        <f>IFERROR(VLOOKUP($C46,'Etapa 1 Masculino'!$E$3:$G$99,3,FALSE),0)</f>
        <v>0</v>
      </c>
      <c r="E46" s="7">
        <f>IFERROR(VLOOKUP($C46,'Etapa 2 Masculina'!$E$3:$G$99,3,FALSE),0)</f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 cm="1">
        <f t="array" ref="P46">SUM(LARGE(D46:O46,{1;2;3;4;5;6;7;8}))</f>
        <v>0</v>
      </c>
      <c r="Q46" s="6" cm="1">
        <f t="array" ref="Q46">SUM(LARGE(CHOOSE({1,2,3,4,5,6,7,8,9,10}, D46, E46, F46, G46, H46, I46, J46, K46, L46, 250), {1,2,3,4,5,6,7}))</f>
        <v>250</v>
      </c>
    </row>
    <row r="47" spans="2:17" ht="18.5" x14ac:dyDescent="0.45">
      <c r="B47" s="6">
        <f t="shared" si="0"/>
        <v>42</v>
      </c>
      <c r="C47" s="6" t="s">
        <v>102</v>
      </c>
      <c r="D47" s="7">
        <f>IFERROR(VLOOKUP($C47,'Etapa 1 Masculino'!$E$3:$G$99,3,FALSE),0)</f>
        <v>0</v>
      </c>
      <c r="E47" s="7">
        <f>IFERROR(VLOOKUP($C47,'Etapa 2 Masculina'!$E$3:$G$99,3,FALSE),0)</f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 cm="1">
        <f t="array" ref="P47">SUM(LARGE(D47:O47,{1;2;3;4;5;6;7;8}))</f>
        <v>0</v>
      </c>
      <c r="Q47" s="6" cm="1">
        <f t="array" ref="Q47">SUM(LARGE(CHOOSE({1,2,3,4,5,6,7,8,9,10}, D47, E47, F47, G47, H47, I47, J47, K47, L47, 250), {1,2,3,4,5,6,7}))</f>
        <v>250</v>
      </c>
    </row>
    <row r="48" spans="2:17" ht="18.5" x14ac:dyDescent="0.45">
      <c r="B48" s="6">
        <f t="shared" si="0"/>
        <v>43</v>
      </c>
      <c r="C48" s="6" t="s">
        <v>97</v>
      </c>
      <c r="D48" s="7">
        <f>IFERROR(VLOOKUP($C48,'Etapa 1 Masculino'!$E$3:$G$99,3,FALSE),0)</f>
        <v>0</v>
      </c>
      <c r="E48" s="7">
        <f>IFERROR(VLOOKUP($C48,'Etapa 2 Masculina'!$E$3:$G$99,3,FALSE),0)</f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 cm="1">
        <f t="array" ref="P48">SUM(LARGE(D48:O48,{1;2;3;4;5;6;7;8}))</f>
        <v>0</v>
      </c>
      <c r="Q48" s="6" cm="1">
        <f t="array" ref="Q48">SUM(LARGE(CHOOSE({1,2,3,4,5,6,7,8,9,10}, D48, E48, F48, G48, H48, I48, J48, K48, L48, 250), {1,2,3,4,5,6,7}))</f>
        <v>250</v>
      </c>
    </row>
    <row r="49" spans="2:17" ht="18.5" x14ac:dyDescent="0.45">
      <c r="B49" s="6">
        <f t="shared" si="0"/>
        <v>44</v>
      </c>
      <c r="C49" s="6" t="s">
        <v>61</v>
      </c>
      <c r="D49" s="7">
        <f>IFERROR(VLOOKUP($C49,'Etapa 1 Masculino'!$E$3:$G$99,3,FALSE),0)</f>
        <v>0</v>
      </c>
      <c r="E49" s="7">
        <f>IFERROR(VLOOKUP($C49,'Etapa 2 Masculina'!$E$3:$G$99,3,FALSE),0)</f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 cm="1">
        <f t="array" ref="P49">SUM(LARGE(D49:O49,{1;2;3;4;5;6;7;8}))</f>
        <v>0</v>
      </c>
      <c r="Q49" s="6" cm="1">
        <f t="array" ref="Q49">SUM(LARGE(CHOOSE({1,2,3,4,5,6,7,8,9,10}, D49, E49, F49, G49, H49, I49, J49, K49, L49, 250), {1,2,3,4,5,6,7}))</f>
        <v>250</v>
      </c>
    </row>
    <row r="50" spans="2:17" ht="18.5" x14ac:dyDescent="0.45">
      <c r="B50" s="6">
        <f t="shared" si="0"/>
        <v>45</v>
      </c>
      <c r="C50" s="6" t="s">
        <v>5</v>
      </c>
      <c r="D50" s="7">
        <f>IFERROR(VLOOKUP($C50,'Etapa 1 Masculino'!$E$3:$G$99,3,FALSE),0)</f>
        <v>0</v>
      </c>
      <c r="E50" s="7">
        <f>IFERROR(VLOOKUP($C50,'Etapa 2 Masculina'!$E$3:$G$99,3,FALSE),0)</f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 cm="1">
        <f t="array" ref="P50">SUM(LARGE(D50:O50,{1;2;3;4;5;6;7;8}))</f>
        <v>0</v>
      </c>
      <c r="Q50" s="6" cm="1">
        <f t="array" ref="Q50">SUM(LARGE(CHOOSE({1,2,3,4,5,6,7,8,9,10}, D50, E50, F50, G50, H50, I50, J50, K50, L50, 250), {1,2,3,4,5,6,7}))</f>
        <v>250</v>
      </c>
    </row>
    <row r="51" spans="2:17" ht="18.5" x14ac:dyDescent="0.45">
      <c r="B51" s="6">
        <f t="shared" si="0"/>
        <v>46</v>
      </c>
      <c r="C51" s="6" t="s">
        <v>52</v>
      </c>
      <c r="D51" s="7">
        <f>IFERROR(VLOOKUP($C51,'Etapa 1 Masculino'!$E$3:$G$99,3,FALSE),0)</f>
        <v>0</v>
      </c>
      <c r="E51" s="7">
        <f>IFERROR(VLOOKUP($C51,'Etapa 2 Masculina'!$E$3:$G$99,3,FALSE),0)</f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 cm="1">
        <f t="array" ref="P51">SUM(LARGE(D51:O51,{1;2;3;4;5;6;7;8}))</f>
        <v>0</v>
      </c>
      <c r="Q51" s="6" cm="1">
        <f t="array" ref="Q51">SUM(LARGE(CHOOSE({1,2,3,4,5,6,7,8,9,10}, D51, E51, F51, G51, H51, I51, J51, K51, L51, 250), {1,2,3,4,5,6,7}))</f>
        <v>250</v>
      </c>
    </row>
    <row r="52" spans="2:17" ht="18.5" x14ac:dyDescent="0.45">
      <c r="B52" s="6">
        <f t="shared" si="0"/>
        <v>47</v>
      </c>
      <c r="C52" s="6" t="s">
        <v>23</v>
      </c>
      <c r="D52" s="7">
        <f>IFERROR(VLOOKUP($C52,'Etapa 1 Masculino'!$E$3:$G$99,3,FALSE),0)</f>
        <v>0</v>
      </c>
      <c r="E52" s="7">
        <f>IFERROR(VLOOKUP($C52,'Etapa 2 Masculina'!$E$3:$G$99,3,FALSE),0)</f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 cm="1">
        <f t="array" ref="P52">SUM(LARGE(D52:O52,{1;2;3;4;5;6;7;8}))</f>
        <v>0</v>
      </c>
      <c r="Q52" s="6" cm="1">
        <f t="array" ref="Q52">SUM(LARGE(CHOOSE({1,2,3,4,5,6,7,8,9,10}, D52, E52, F52, G52, H52, I52, J52, K52, L52, 250), {1,2,3,4,5,6,7}))</f>
        <v>250</v>
      </c>
    </row>
  </sheetData>
  <mergeCells count="1">
    <mergeCell ref="B3:D4"/>
  </mergeCells>
  <phoneticPr fontId="7" type="noConversion"/>
  <conditionalFormatting sqref="D6:O52">
    <cfRule type="expression" dxfId="3" priority="1">
      <formula>D6&lt;=SMALL($D6:$M6,3)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6555-A074-4513-B13D-970CBF3212D7}">
  <sheetPr codeName="Hoja3"/>
  <dimension ref="B3:V49"/>
  <sheetViews>
    <sheetView zoomScale="90" zoomScaleNormal="90" workbookViewId="0">
      <selection activeCell="F19" sqref="F19"/>
    </sheetView>
  </sheetViews>
  <sheetFormatPr baseColWidth="10" defaultRowHeight="14.5" x14ac:dyDescent="0.35"/>
  <cols>
    <col min="2" max="2" width="10" bestFit="1" customWidth="1"/>
    <col min="3" max="3" width="36.453125" bestFit="1" customWidth="1"/>
    <col min="4" max="6" width="11" bestFit="1" customWidth="1"/>
    <col min="7" max="15" width="10.90625" customWidth="1"/>
    <col min="16" max="16" width="12.54296875" bestFit="1" customWidth="1"/>
    <col min="17" max="17" width="26.7265625" bestFit="1" customWidth="1"/>
  </cols>
  <sheetData>
    <row r="3" spans="2:22" x14ac:dyDescent="0.35">
      <c r="B3" s="16" t="s">
        <v>51</v>
      </c>
      <c r="C3" s="16"/>
      <c r="D3" s="16"/>
    </row>
    <row r="4" spans="2:22" x14ac:dyDescent="0.35">
      <c r="B4" s="16"/>
      <c r="C4" s="16"/>
      <c r="D4" s="16"/>
    </row>
    <row r="5" spans="2:22" x14ac:dyDescent="0.35">
      <c r="B5" s="3" t="s">
        <v>48</v>
      </c>
      <c r="C5" t="s">
        <v>0</v>
      </c>
      <c r="D5" s="3" t="s">
        <v>49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135</v>
      </c>
      <c r="O5" s="3" t="s">
        <v>136</v>
      </c>
      <c r="P5" s="3" t="s">
        <v>73</v>
      </c>
      <c r="Q5" s="3" t="s">
        <v>118</v>
      </c>
    </row>
    <row r="6" spans="2:22" ht="18.5" x14ac:dyDescent="0.45">
      <c r="B6" s="6">
        <f>ROW() - ROW($B$6) + 1</f>
        <v>1</v>
      </c>
      <c r="C6" s="6" t="s">
        <v>38</v>
      </c>
      <c r="D6" s="7">
        <f>IFERROR(VLOOKUP($C6,'Etapa 1 Senior'!$E$3:$G$83,3,FALSE),0)</f>
        <v>250</v>
      </c>
      <c r="E6" s="7">
        <f>IFERROR(VLOOKUP($C6,'Etapa 2 Senior'!$E$3:$G$83,3,FALSE),0)</f>
        <v>250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 cm="1">
        <f t="array" ref="P6">SUM(LARGE(D6:O6,{1;2;3;4;5;6;7;8}))</f>
        <v>500</v>
      </c>
      <c r="Q6" s="6" cm="1">
        <f t="array" ref="Q6">SUM(LARGE(CHOOSE({1,2,3,4,5,6,7,8,9,10}, D6, E6, F6, G6, H6, I6, J6, K6, L6, 250), {1,2,3,4,5,6,7}))</f>
        <v>750</v>
      </c>
      <c r="U6" s="11" t="s">
        <v>119</v>
      </c>
      <c r="V6" s="11" t="s">
        <v>120</v>
      </c>
    </row>
    <row r="7" spans="2:22" ht="18.5" x14ac:dyDescent="0.45">
      <c r="B7" s="6">
        <f t="shared" ref="B7:B49" si="0">ROW() - ROW($B$6) + 1</f>
        <v>2</v>
      </c>
      <c r="C7" s="6" t="s">
        <v>58</v>
      </c>
      <c r="D7" s="7">
        <f>IFERROR(VLOOKUP($C7,'Etapa 1 Senior'!$E$3:$G$83,3,FALSE),0)</f>
        <v>230</v>
      </c>
      <c r="E7" s="7">
        <f>IFERROR(VLOOKUP($C7,'Etapa 2 Senior'!$E$3:$G$83,3,FALSE),0)</f>
        <v>230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 cm="1">
        <f t="array" ref="P7">SUM(LARGE(D7:O7,{1;2;3;4;5;6;7;8}))</f>
        <v>460</v>
      </c>
      <c r="Q7" s="6" cm="1">
        <f t="array" ref="Q7">SUM(LARGE(CHOOSE({1,2,3,4,5,6,7,8,9,10}, D7, E7, F7, G7, H7, I7, J7, K7, L7, 250), {1,2,3,4,5,6,7}))</f>
        <v>710</v>
      </c>
      <c r="U7" s="11" t="s">
        <v>121</v>
      </c>
      <c r="V7" s="11" t="s">
        <v>122</v>
      </c>
    </row>
    <row r="8" spans="2:22" ht="18.5" x14ac:dyDescent="0.45">
      <c r="B8" s="6">
        <f t="shared" si="0"/>
        <v>3</v>
      </c>
      <c r="C8" s="6" t="s">
        <v>109</v>
      </c>
      <c r="D8" s="7">
        <f>IFERROR(VLOOKUP($C8,'Etapa 1 Senior'!$E$3:$G$83,3,FALSE),0)</f>
        <v>215</v>
      </c>
      <c r="E8" s="7">
        <f>IFERROR(VLOOKUP($C8,'Etapa 2 Senior'!$E$3:$G$83,3,FALSE),0)</f>
        <v>190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 cm="1">
        <f t="array" ref="P8">SUM(LARGE(D8:O8,{1;2;3;4;5;6;7;8}))</f>
        <v>405</v>
      </c>
      <c r="Q8" s="6" cm="1">
        <f t="array" ref="Q8">SUM(LARGE(CHOOSE({1,2,3,4,5,6,7,8,9,10}, D8, E8, F8, G8, H8, I8, J8, K8, L8, 250), {1,2,3,4,5,6,7}))</f>
        <v>655</v>
      </c>
      <c r="U8" s="11" t="s">
        <v>123</v>
      </c>
      <c r="V8" s="11" t="s">
        <v>124</v>
      </c>
    </row>
    <row r="9" spans="2:22" ht="18.5" x14ac:dyDescent="0.45">
      <c r="B9" s="6">
        <f t="shared" si="0"/>
        <v>4</v>
      </c>
      <c r="C9" s="6" t="s">
        <v>22</v>
      </c>
      <c r="D9" s="7">
        <f>IFERROR(VLOOKUP($C9,'Etapa 1 Senior'!$E$3:$G$83,3,FALSE),0)</f>
        <v>200</v>
      </c>
      <c r="E9" s="7">
        <f>IFERROR(VLOOKUP($C9,'Etapa 2 Senior'!$E$3:$G$83,3,FALSE),0)</f>
        <v>200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 cm="1">
        <f t="array" ref="P9">SUM(LARGE(D9:O9,{1;2;3;4;5;6;7;8}))</f>
        <v>400</v>
      </c>
      <c r="Q9" s="6" cm="1">
        <f t="array" ref="Q9">SUM(LARGE(CHOOSE({1,2,3,4,5,6,7,8,9,10}, D9, E9, F9, G9, H9, I9, J9, K9, L9, 250), {1,2,3,4,5,6,7}))</f>
        <v>650</v>
      </c>
    </row>
    <row r="10" spans="2:22" ht="18.5" x14ac:dyDescent="0.45">
      <c r="B10" s="6">
        <f t="shared" si="0"/>
        <v>5</v>
      </c>
      <c r="C10" s="6" t="s">
        <v>19</v>
      </c>
      <c r="D10" s="7">
        <f>IFERROR(VLOOKUP($C10,'Etapa 1 Senior'!$E$3:$G$83,3,FALSE),0)</f>
        <v>0</v>
      </c>
      <c r="E10" s="7">
        <f>IFERROR(VLOOKUP($C10,'Etapa 2 Senior'!$E$3:$G$83,3,FALSE),0)</f>
        <v>215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 cm="1">
        <f t="array" ref="P10">SUM(LARGE(D10:O10,{1;2;3;4;5;6;7;8}))</f>
        <v>215</v>
      </c>
      <c r="Q10" s="6" cm="1">
        <f t="array" ref="Q10">SUM(LARGE(CHOOSE({1,2,3,4,5,6,7,8,9,10}, D10, E10, F10, G10, H10, I10, J10, K10, L10, 250), {1,2,3,4,5,6,7}))</f>
        <v>465</v>
      </c>
    </row>
    <row r="11" spans="2:22" ht="18.5" x14ac:dyDescent="0.45">
      <c r="B11" s="6">
        <f t="shared" si="0"/>
        <v>6</v>
      </c>
      <c r="C11" s="6" t="s">
        <v>25</v>
      </c>
      <c r="D11" s="7">
        <f>IFERROR(VLOOKUP($C11,'Etapa 1 Senior'!$E$3:$G$83,3,FALSE),0)</f>
        <v>0</v>
      </c>
      <c r="E11" s="7">
        <f>IFERROR(VLOOKUP($C11,'Etapa 2 Senior'!$E$3:$G$83,3,FALSE),0)</f>
        <v>180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 cm="1">
        <f t="array" ref="P11">SUM(LARGE(D11:O11,{1;2;3;4;5;6;7;8}))</f>
        <v>180</v>
      </c>
      <c r="Q11" s="6" cm="1">
        <f t="array" ref="Q11">SUM(LARGE(CHOOSE({1,2,3,4,5,6,7,8,9,10}, D11, E11, F11, G11, H11, I11, J11, K11, L11, 250), {1,2,3,4,5,6,7}))</f>
        <v>430</v>
      </c>
    </row>
    <row r="12" spans="2:22" ht="18.5" x14ac:dyDescent="0.45">
      <c r="B12" s="6">
        <f t="shared" si="0"/>
        <v>7</v>
      </c>
      <c r="C12" s="6" t="s">
        <v>31</v>
      </c>
      <c r="D12" s="7">
        <f>IFERROR(VLOOKUP($C12,'Etapa 1 Senior'!$E$3:$G$83,3,FALSE),0)</f>
        <v>0</v>
      </c>
      <c r="E12" s="7">
        <f>IFERROR(VLOOKUP($C12,'Etapa 2 Senior'!$E$3:$G$83,3,FALSE),0)</f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 cm="1">
        <f t="array" ref="P12">SUM(LARGE(D12:O12,{1;2;3;4;5;6;7;8}))</f>
        <v>0</v>
      </c>
      <c r="Q12" s="13" cm="1">
        <f t="array" ref="Q12">SUM(LARGE(CHOOSE({1,2,3,4,5,6,7,8,9,10}, D12, E12, F12, G12, H12, I12, J12, K12, L12, 250), {1,2,3,4,5,6,7}))</f>
        <v>250</v>
      </c>
    </row>
    <row r="13" spans="2:22" ht="18.5" x14ac:dyDescent="0.45">
      <c r="B13" s="6">
        <f t="shared" si="0"/>
        <v>8</v>
      </c>
      <c r="C13" s="6" t="s">
        <v>53</v>
      </c>
      <c r="D13" s="7">
        <f>IFERROR(VLOOKUP($C13,'Etapa 1 Senior'!$E$3:$G$83,3,FALSE),0)</f>
        <v>0</v>
      </c>
      <c r="E13" s="7">
        <f>IFERROR(VLOOKUP($C13,'Etapa 2 Senior'!$E$3:$G$83,3,FALSE),0)</f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 cm="1">
        <f t="array" ref="P13">SUM(LARGE(D13:O13,{1;2;3;4;5;6;7;8}))</f>
        <v>0</v>
      </c>
      <c r="Q13" s="8" cm="1">
        <f t="array" ref="Q13">SUM(LARGE(CHOOSE({1,2,3,4,5,6,7,8,9,10}, D13, E13, F13, G13, H13, I13, J13, K13, L13, 250), {1,2,3,4,5,6,7}))</f>
        <v>250</v>
      </c>
    </row>
    <row r="14" spans="2:22" ht="18.5" x14ac:dyDescent="0.45">
      <c r="B14" s="6">
        <f t="shared" si="0"/>
        <v>9</v>
      </c>
      <c r="C14" s="6" t="s">
        <v>27</v>
      </c>
      <c r="D14" s="7">
        <f>IFERROR(VLOOKUP($C14,'Etapa 1 Senior'!$E$3:$G$83,3,FALSE),0)</f>
        <v>0</v>
      </c>
      <c r="E14" s="7">
        <f>IFERROR(VLOOKUP($C14,'Etapa 2 Senior'!$E$3:$G$83,3,FALSE),0)</f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 cm="1">
        <f t="array" ref="P14">SUM(LARGE(D14:O14,{1;2;3;4;5;6;7;8}))</f>
        <v>0</v>
      </c>
      <c r="Q14" s="8" cm="1">
        <f t="array" ref="Q14">SUM(LARGE(CHOOSE({1,2,3,4,5,6,7,8,9,10}, D14, E14, F14, G14, H14, I14, J14, K14, L14, 250), {1,2,3,4,5,6,7}))</f>
        <v>250</v>
      </c>
    </row>
    <row r="15" spans="2:22" ht="18.5" x14ac:dyDescent="0.45">
      <c r="B15" s="6">
        <f t="shared" si="0"/>
        <v>10</v>
      </c>
      <c r="C15" s="6" t="s">
        <v>63</v>
      </c>
      <c r="D15" s="7">
        <f>IFERROR(VLOOKUP($C15,'Etapa 1 Senior'!$E$3:$G$83,3,FALSE),0)</f>
        <v>0</v>
      </c>
      <c r="E15" s="7">
        <f>IFERROR(VLOOKUP($C15,'Etapa 2 Senior'!$E$3:$G$83,3,FALSE),0)</f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 cm="1">
        <f t="array" ref="P15">SUM(LARGE(D15:O15,{1;2;3;4;5;6;7;8}))</f>
        <v>0</v>
      </c>
      <c r="Q15" s="15" cm="1">
        <f t="array" ref="Q15">SUM(LARGE(CHOOSE({1,2,3,4,5,6,7,8,9,10}, D15, E15, F15, G15, H15, I15, J15, K15, L15, 250), {1,2,3,4,5,6,7}))</f>
        <v>250</v>
      </c>
    </row>
    <row r="16" spans="2:22" ht="18.5" x14ac:dyDescent="0.45">
      <c r="B16" s="6">
        <f t="shared" si="0"/>
        <v>11</v>
      </c>
      <c r="C16" s="6" t="s">
        <v>20</v>
      </c>
      <c r="D16" s="7">
        <f>IFERROR(VLOOKUP($C16,'Etapa 1 Senior'!$E$3:$G$83,3,FALSE),0)</f>
        <v>0</v>
      </c>
      <c r="E16" s="7">
        <f>IFERROR(VLOOKUP($C16,'Etapa 2 Senior'!$E$3:$G$83,3,FALSE),0)</f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 cm="1">
        <f t="array" ref="P16">SUM(LARGE(D16:O16,{1;2;3;4;5;6;7;8}))</f>
        <v>0</v>
      </c>
      <c r="Q16" s="6" cm="1">
        <f t="array" ref="Q16">SUM(LARGE(CHOOSE({1,2,3,4,5,6,7,8,9,10}, D16, E16, F16, G16, H16, I16, J16, K16, L16, 250), {1,2,3,4,5,6,7}))</f>
        <v>250</v>
      </c>
    </row>
    <row r="17" spans="2:17" ht="18.5" x14ac:dyDescent="0.45">
      <c r="B17" s="6">
        <f t="shared" si="0"/>
        <v>12</v>
      </c>
      <c r="C17" s="6" t="s">
        <v>9</v>
      </c>
      <c r="D17" s="7">
        <f>IFERROR(VLOOKUP($C17,'Etapa 1 Senior'!$E$3:$G$83,3,FALSE),0)</f>
        <v>0</v>
      </c>
      <c r="E17" s="7">
        <f>IFERROR(VLOOKUP($C17,'Etapa 2 Senior'!$E$3:$G$83,3,FALSE),0)</f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 cm="1">
        <f t="array" ref="P17">SUM(LARGE(D17:O17,{1;2;3;4;5;6;7;8}))</f>
        <v>0</v>
      </c>
      <c r="Q17" s="15" cm="1">
        <f t="array" ref="Q17">SUM(LARGE(CHOOSE({1,2,3,4,5,6,7,8,9,10}, D17, E17, F17, G17, H17, I17, J17, K17, L17, 250), {1,2,3,4,5,6,7}))</f>
        <v>250</v>
      </c>
    </row>
    <row r="18" spans="2:17" ht="18.5" x14ac:dyDescent="0.45">
      <c r="B18" s="6">
        <f t="shared" si="0"/>
        <v>13</v>
      </c>
      <c r="C18" s="6" t="s">
        <v>11</v>
      </c>
      <c r="D18" s="7">
        <f>IFERROR(VLOOKUP($C18,'Etapa 1 Senior'!$E$3:$G$83,3,FALSE),0)</f>
        <v>0</v>
      </c>
      <c r="E18" s="7">
        <f>IFERROR(VLOOKUP($C18,'Etapa 2 Senior'!$E$3:$G$83,3,FALSE),0)</f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 cm="1">
        <f t="array" ref="P18">SUM(LARGE(D18:O18,{1;2;3;4;5;6;7;8}))</f>
        <v>0</v>
      </c>
      <c r="Q18" s="6" cm="1">
        <f t="array" ref="Q18">SUM(LARGE(CHOOSE({1,2,3,4,5,6,7,8,9,10}, D18, E18, F18, G18, H18, I18, J18, K18, L18, 250), {1,2,3,4,5,6,7}))</f>
        <v>250</v>
      </c>
    </row>
    <row r="19" spans="2:17" ht="18.5" x14ac:dyDescent="0.45">
      <c r="B19" s="6">
        <f t="shared" si="0"/>
        <v>14</v>
      </c>
      <c r="C19" s="6" t="s">
        <v>15</v>
      </c>
      <c r="D19" s="7">
        <f>IFERROR(VLOOKUP($C19,'Etapa 1 Senior'!$E$3:$G$83,3,FALSE),0)</f>
        <v>0</v>
      </c>
      <c r="E19" s="7">
        <f>IFERROR(VLOOKUP($C19,'Etapa 2 Senior'!$E$3:$G$83,3,FALSE),0)</f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 cm="1">
        <f t="array" ref="P19">SUM(LARGE(D19:O19,{1;2;3;4;5;6;7;8}))</f>
        <v>0</v>
      </c>
      <c r="Q19" s="6" cm="1">
        <f t="array" ref="Q19">SUM(LARGE(CHOOSE({1,2,3,4,5,6,7,8,9,10}, D19, E19, F19, G19, H19, I19, J19, K19, L19, 250), {1,2,3,4,5,6,7}))</f>
        <v>250</v>
      </c>
    </row>
    <row r="20" spans="2:17" ht="18.5" x14ac:dyDescent="0.45">
      <c r="B20" s="6">
        <f t="shared" si="0"/>
        <v>15</v>
      </c>
      <c r="C20" s="6" t="s">
        <v>76</v>
      </c>
      <c r="D20" s="7">
        <f>IFERROR(VLOOKUP($C20,'Etapa 1 Senior'!$E$3:$G$83,3,FALSE),0)</f>
        <v>0</v>
      </c>
      <c r="E20" s="7">
        <f>IFERROR(VLOOKUP($C20,'Etapa 2 Senior'!$E$3:$G$83,3,FALSE),0)</f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 cm="1">
        <f t="array" ref="P20">SUM(LARGE(D20:O20,{1;2;3;4;5;6;7;8}))</f>
        <v>0</v>
      </c>
      <c r="Q20" s="6" cm="1">
        <f t="array" ref="Q20">SUM(LARGE(CHOOSE({1,2,3,4,5,6,7,8,9,10}, D20, E20, F20, G20, H20, I20, J20, K20, L20, 250), {1,2,3,4,5,6,7}))</f>
        <v>250</v>
      </c>
    </row>
    <row r="21" spans="2:17" ht="18.5" x14ac:dyDescent="0.45">
      <c r="B21" s="6">
        <f t="shared" si="0"/>
        <v>16</v>
      </c>
      <c r="C21" s="6" t="s">
        <v>29</v>
      </c>
      <c r="D21" s="7">
        <f>IFERROR(VLOOKUP($C21,'Etapa 1 Senior'!$E$3:$G$83,3,FALSE),0)</f>
        <v>0</v>
      </c>
      <c r="E21" s="7">
        <f>IFERROR(VLOOKUP($C21,'Etapa 2 Senior'!$E$3:$G$83,3,FALSE),0)</f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 cm="1">
        <f t="array" ref="P21">SUM(LARGE(D21:O21,{1;2;3;4;5;6;7;8}))</f>
        <v>0</v>
      </c>
      <c r="Q21" s="6" cm="1">
        <f t="array" ref="Q21">SUM(LARGE(CHOOSE({1,2,3,4,5,6,7,8,9,10}, D21, E21, F21, G21, H21, I21, J21, K21, L21, 250), {1,2,3,4,5,6,7}))</f>
        <v>250</v>
      </c>
    </row>
    <row r="22" spans="2:17" ht="18.5" x14ac:dyDescent="0.45">
      <c r="B22" s="6">
        <f t="shared" si="0"/>
        <v>17</v>
      </c>
      <c r="C22" s="6" t="s">
        <v>90</v>
      </c>
      <c r="D22" s="7">
        <f>IFERROR(VLOOKUP($C22,'Etapa 1 Senior'!$E$3:$G$83,3,FALSE),0)</f>
        <v>0</v>
      </c>
      <c r="E22" s="7">
        <f>IFERROR(VLOOKUP($C22,'Etapa 2 Senior'!$E$3:$G$83,3,FALSE),0)</f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 cm="1">
        <f t="array" ref="P22">SUM(LARGE(D22:O22,{1;2;3;4;5;6;7;8}))</f>
        <v>0</v>
      </c>
      <c r="Q22" s="6" cm="1">
        <f t="array" ref="Q22">SUM(LARGE(CHOOSE({1,2,3,4,5,6,7,8,9,10}, D22, E22, F22, G22, H22, I22, J22, K22, L22, 250), {1,2,3,4,5,6,7}))</f>
        <v>250</v>
      </c>
    </row>
    <row r="23" spans="2:17" ht="18.5" x14ac:dyDescent="0.45">
      <c r="B23" s="6">
        <f t="shared" si="0"/>
        <v>18</v>
      </c>
      <c r="C23" s="6" t="s">
        <v>82</v>
      </c>
      <c r="D23" s="7">
        <f>IFERROR(VLOOKUP($C23,'Etapa 1 Senior'!$E$3:$G$83,3,FALSE),0)</f>
        <v>0</v>
      </c>
      <c r="E23" s="7">
        <f>IFERROR(VLOOKUP($C23,'Etapa 2 Senior'!$E$3:$G$83,3,FALSE),0)</f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 cm="1">
        <f t="array" ref="P23">SUM(LARGE(D23:O23,{1;2;3;4;5;6;7;8}))</f>
        <v>0</v>
      </c>
      <c r="Q23" s="6" cm="1">
        <f t="array" ref="Q23">SUM(LARGE(CHOOSE({1,2,3,4,5,6,7,8,9,10}, D23, E23, F23, G23, H23, I23, J23, K23, L23, 250), {1,2,3,4,5,6,7}))</f>
        <v>250</v>
      </c>
    </row>
    <row r="24" spans="2:17" ht="18.5" x14ac:dyDescent="0.45">
      <c r="B24" s="6">
        <f t="shared" si="0"/>
        <v>19</v>
      </c>
      <c r="C24" s="6" t="s">
        <v>60</v>
      </c>
      <c r="D24" s="7">
        <f>IFERROR(VLOOKUP($C24,'Etapa 1 Senior'!$E$3:$G$83,3,FALSE),0)</f>
        <v>0</v>
      </c>
      <c r="E24" s="7">
        <f>IFERROR(VLOOKUP($C24,'Etapa 2 Senior'!$E$3:$G$83,3,FALSE),0)</f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 cm="1">
        <f t="array" ref="P24">SUM(LARGE(D24:O24,{1;2;3;4;5;6;7;8}))</f>
        <v>0</v>
      </c>
      <c r="Q24" s="6" cm="1">
        <f t="array" ref="Q24">SUM(LARGE(CHOOSE({1,2,3,4,5,6,7,8,9,10}, D24, E24, F24, G24, H24, I24, J24, K24, L24, 250), {1,2,3,4,5,6,7}))</f>
        <v>250</v>
      </c>
    </row>
    <row r="25" spans="2:17" ht="18.5" x14ac:dyDescent="0.45">
      <c r="B25" s="6">
        <f t="shared" si="0"/>
        <v>20</v>
      </c>
      <c r="C25" s="6" t="s">
        <v>94</v>
      </c>
      <c r="D25" s="7">
        <f>IFERROR(VLOOKUP($C25,'Etapa 1 Senior'!$E$3:$G$83,3,FALSE),0)</f>
        <v>0</v>
      </c>
      <c r="E25" s="7">
        <f>IFERROR(VLOOKUP($C25,'Etapa 2 Senior'!$E$3:$G$83,3,FALSE),0)</f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 cm="1">
        <f t="array" ref="P25">SUM(LARGE(D25:O25,{1;2;3;4;5;6;7;8}))</f>
        <v>0</v>
      </c>
      <c r="Q25" s="6" cm="1">
        <f t="array" ref="Q25">SUM(LARGE(CHOOSE({1,2,3,4,5,6,7,8,9,10}, D25, E25, F25, G25, H25, I25, J25, K25, L25, 250), {1,2,3,4,5,6,7}))</f>
        <v>250</v>
      </c>
    </row>
    <row r="26" spans="2:17" ht="18.5" x14ac:dyDescent="0.45">
      <c r="B26" s="6">
        <f t="shared" si="0"/>
        <v>21</v>
      </c>
      <c r="C26" s="6" t="s">
        <v>88</v>
      </c>
      <c r="D26" s="7">
        <f>IFERROR(VLOOKUP($C26,'Etapa 1 Senior'!$E$3:$G$83,3,FALSE),0)</f>
        <v>0</v>
      </c>
      <c r="E26" s="7">
        <f>IFERROR(VLOOKUP($C26,'Etapa 2 Senior'!$E$3:$G$83,3,FALSE),0)</f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 cm="1">
        <f t="array" ref="P26">SUM(LARGE(D26:O26,{1;2;3;4;5;6;7;8}))</f>
        <v>0</v>
      </c>
      <c r="Q26" s="6" cm="1">
        <f t="array" ref="Q26">SUM(LARGE(CHOOSE({1,2,3,4,5,6,7,8,9,10}, D26, E26, F26, G26, H26, I26, J26, K26, L26, 250), {1,2,3,4,5,6,7}))</f>
        <v>250</v>
      </c>
    </row>
    <row r="27" spans="2:17" ht="18.5" x14ac:dyDescent="0.45">
      <c r="B27" s="6">
        <f t="shared" si="0"/>
        <v>22</v>
      </c>
      <c r="C27" s="6" t="s">
        <v>86</v>
      </c>
      <c r="D27" s="7">
        <f>IFERROR(VLOOKUP($C27,'Etapa 1 Senior'!$E$3:$G$83,3,FALSE),0)</f>
        <v>0</v>
      </c>
      <c r="E27" s="7">
        <f>IFERROR(VLOOKUP($C27,'Etapa 2 Senior'!$E$3:$G$83,3,FALSE),0)</f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 cm="1">
        <f t="array" ref="P27">SUM(LARGE(D27:O27,{1;2;3;4;5;6;7;8}))</f>
        <v>0</v>
      </c>
      <c r="Q27" s="6" cm="1">
        <f t="array" ref="Q27">SUM(LARGE(CHOOSE({1,2,3,4,5,6,7,8,9,10}, D27, E27, F27, G27, H27, I27, J27, K27, L27, 250), {1,2,3,4,5,6,7}))</f>
        <v>250</v>
      </c>
    </row>
    <row r="28" spans="2:17" ht="18.5" x14ac:dyDescent="0.45">
      <c r="B28" s="6">
        <f t="shared" si="0"/>
        <v>23</v>
      </c>
      <c r="C28" s="6" t="s">
        <v>13</v>
      </c>
      <c r="D28" s="7">
        <f>IFERROR(VLOOKUP($C28,'Etapa 1 Senior'!$E$3:$G$83,3,FALSE),0)</f>
        <v>0</v>
      </c>
      <c r="E28" s="7">
        <f>IFERROR(VLOOKUP($C28,'Etapa 2 Senior'!$E$3:$G$83,3,FALSE),0)</f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 cm="1">
        <f t="array" ref="P28">SUM(LARGE(D28:O28,{1;2;3;4;5;6;7;8}))</f>
        <v>0</v>
      </c>
      <c r="Q28" s="6" cm="1">
        <f t="array" ref="Q28">SUM(LARGE(CHOOSE({1,2,3,4,5,6,7,8,9,10}, D28, E28, F28, G28, H28, I28, J28, K28, L28, 250), {1,2,3,4,5,6,7}))</f>
        <v>250</v>
      </c>
    </row>
    <row r="29" spans="2:17" ht="18.5" x14ac:dyDescent="0.45">
      <c r="B29" s="6">
        <f t="shared" si="0"/>
        <v>24</v>
      </c>
      <c r="C29" s="6" t="s">
        <v>37</v>
      </c>
      <c r="D29" s="7">
        <f>IFERROR(VLOOKUP($C29,'Etapa 1 Senior'!$E$3:$G$83,3,FALSE),0)</f>
        <v>0</v>
      </c>
      <c r="E29" s="7">
        <f>IFERROR(VLOOKUP($C29,'Etapa 2 Senior'!$E$3:$G$83,3,FALSE),0)</f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 cm="1">
        <f t="array" ref="P29">SUM(LARGE(D29:O29,{1;2;3;4;5;6;7;8}))</f>
        <v>0</v>
      </c>
      <c r="Q29" s="6" cm="1">
        <f t="array" ref="Q29">SUM(LARGE(CHOOSE({1,2,3,4,5,6,7,8,9,10}, D29, E29, F29, G29, H29, I29, J29, K29, L29, 250), {1,2,3,4,5,6,7}))</f>
        <v>250</v>
      </c>
    </row>
    <row r="30" spans="2:17" ht="18.5" x14ac:dyDescent="0.45">
      <c r="B30" s="6">
        <f t="shared" si="0"/>
        <v>25</v>
      </c>
      <c r="C30" s="6" t="s">
        <v>35</v>
      </c>
      <c r="D30" s="7">
        <f>IFERROR(VLOOKUP($C30,'Etapa 1 Senior'!$E$3:$G$83,3,FALSE),0)</f>
        <v>0</v>
      </c>
      <c r="E30" s="7">
        <f>IFERROR(VLOOKUP($C30,'Etapa 2 Senior'!$E$3:$G$83,3,FALSE),0)</f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 cm="1">
        <f t="array" ref="P30">SUM(LARGE(D30:O30,{1;2;3;4;5;6;7;8}))</f>
        <v>0</v>
      </c>
      <c r="Q30" s="6" cm="1">
        <f t="array" ref="Q30">SUM(LARGE(CHOOSE({1,2,3,4,5,6,7,8,9,10}, D30, E30, F30, G30, H30, I30, J30, K30, L30, 250), {1,2,3,4,5,6,7}))</f>
        <v>250</v>
      </c>
    </row>
    <row r="31" spans="2:17" ht="18.5" x14ac:dyDescent="0.45">
      <c r="B31" s="6">
        <f t="shared" si="0"/>
        <v>26</v>
      </c>
      <c r="C31" s="6" t="s">
        <v>42</v>
      </c>
      <c r="D31" s="7">
        <f>IFERROR(VLOOKUP($C31,'Etapa 1 Senior'!$E$3:$G$83,3,FALSE),0)</f>
        <v>0</v>
      </c>
      <c r="E31" s="7">
        <f>IFERROR(VLOOKUP($C31,'Etapa 2 Senior'!$E$3:$G$83,3,FALSE),0)</f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 cm="1">
        <f t="array" ref="P31">SUM(LARGE(D31:O31,{1;2;3;4;5;6;7;8}))</f>
        <v>0</v>
      </c>
      <c r="Q31" s="6" cm="1">
        <f t="array" ref="Q31">SUM(LARGE(CHOOSE({1,2,3,4,5,6,7,8,9,10}, D31, E31, F31, G31, H31, I31, J31, K31, L31, 250), {1,2,3,4,5,6,7}))</f>
        <v>250</v>
      </c>
    </row>
    <row r="32" spans="2:17" ht="18.5" x14ac:dyDescent="0.45">
      <c r="B32" s="6">
        <f t="shared" si="0"/>
        <v>27</v>
      </c>
      <c r="C32" s="6" t="s">
        <v>104</v>
      </c>
      <c r="D32" s="7">
        <f>IFERROR(VLOOKUP($C32,'Etapa 1 Senior'!$E$3:$G$83,3,FALSE),0)</f>
        <v>0</v>
      </c>
      <c r="E32" s="7">
        <f>IFERROR(VLOOKUP($C32,'Etapa 2 Senior'!$E$3:$G$83,3,FALSE),0)</f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 cm="1">
        <f t="array" ref="P32">SUM(LARGE(D32:O32,{1;2;3;4;5;6;7;8}))</f>
        <v>0</v>
      </c>
      <c r="Q32" s="6" cm="1">
        <f t="array" ref="Q32">SUM(LARGE(CHOOSE({1,2,3,4,5,6,7,8,9,10}, D32, E32, F32, G32, H32, I32, J32, K32, L32, 250), {1,2,3,4,5,6,7}))</f>
        <v>250</v>
      </c>
    </row>
    <row r="33" spans="2:17" ht="18.5" x14ac:dyDescent="0.45">
      <c r="B33" s="6">
        <f t="shared" si="0"/>
        <v>28</v>
      </c>
      <c r="C33" s="6" t="s">
        <v>116</v>
      </c>
      <c r="D33" s="7">
        <f>IFERROR(VLOOKUP($C33,'Etapa 1 Senior'!$E$3:$G$83,3,FALSE),0)</f>
        <v>0</v>
      </c>
      <c r="E33" s="7">
        <f>IFERROR(VLOOKUP($C33,'Etapa 2 Senior'!$E$3:$G$83,3,FALSE),0)</f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 cm="1">
        <f t="array" ref="P33">SUM(LARGE(D33:O33,{1;2;3;4;5;6;7;8}))</f>
        <v>0</v>
      </c>
      <c r="Q33" s="6" cm="1">
        <f t="array" ref="Q33">SUM(LARGE(CHOOSE({1,2,3,4,5,6,7,8,9,10}, D33, E33, F33, G33, H33, I33, J33, K33, L33, 250), {1,2,3,4,5,6,7}))</f>
        <v>250</v>
      </c>
    </row>
    <row r="34" spans="2:17" ht="18.5" x14ac:dyDescent="0.45">
      <c r="B34" s="6">
        <f t="shared" si="0"/>
        <v>29</v>
      </c>
      <c r="C34" s="6" t="s">
        <v>33</v>
      </c>
      <c r="D34" s="7">
        <f>IFERROR(VLOOKUP($C34,'Etapa 1 Senior'!$E$3:$G$83,3,FALSE),0)</f>
        <v>0</v>
      </c>
      <c r="E34" s="7">
        <f>IFERROR(VLOOKUP($C34,'Etapa 2 Senior'!$E$3:$G$83,3,FALSE),0)</f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 cm="1">
        <f t="array" ref="P34">SUM(LARGE(D34:O34,{1;2;3;4;5;6;7;8}))</f>
        <v>0</v>
      </c>
      <c r="Q34" s="6" cm="1">
        <f t="array" ref="Q34">SUM(LARGE(CHOOSE({1,2,3,4,5,6,7,8,9,10}, D34, E34, F34, G34, H34, I34, J34, K34, L34, 250), {1,2,3,4,5,6,7}))</f>
        <v>250</v>
      </c>
    </row>
    <row r="35" spans="2:17" ht="18.5" x14ac:dyDescent="0.45">
      <c r="B35" s="6">
        <f t="shared" si="0"/>
        <v>30</v>
      </c>
      <c r="C35" s="6" t="s">
        <v>39</v>
      </c>
      <c r="D35" s="7">
        <f>IFERROR(VLOOKUP($C35,'Etapa 1 Senior'!$E$3:$G$83,3,FALSE),0)</f>
        <v>0</v>
      </c>
      <c r="E35" s="7">
        <f>IFERROR(VLOOKUP($C35,'Etapa 2 Senior'!$E$3:$G$83,3,FALSE),0)</f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 cm="1">
        <f t="array" ref="P35">SUM(LARGE(D35:O35,{1;2;3;4;5;6;7;8}))</f>
        <v>0</v>
      </c>
      <c r="Q35" s="6" cm="1">
        <f t="array" ref="Q35">SUM(LARGE(CHOOSE({1,2,3,4,5,6,7,8,9,10}, D35, E35, F35, G35, H35, I35, J35, K35, L35, 250), {1,2,3,4,5,6,7}))</f>
        <v>250</v>
      </c>
    </row>
    <row r="36" spans="2:17" ht="18.5" x14ac:dyDescent="0.45">
      <c r="B36" s="6">
        <f t="shared" si="0"/>
        <v>31</v>
      </c>
      <c r="C36" s="6" t="s">
        <v>100</v>
      </c>
      <c r="D36" s="7">
        <f>IFERROR(VLOOKUP($C36,'Etapa 1 Senior'!$E$3:$G$83,3,FALSE),0)</f>
        <v>0</v>
      </c>
      <c r="E36" s="7">
        <f>IFERROR(VLOOKUP($C36,'Etapa 2 Senior'!$E$3:$G$83,3,FALSE),0)</f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 cm="1">
        <f t="array" ref="P36">SUM(LARGE(D36:O36,{1;2;3;4;5;6;7;8}))</f>
        <v>0</v>
      </c>
      <c r="Q36" s="6" cm="1">
        <f t="array" ref="Q36">SUM(LARGE(CHOOSE({1,2,3,4,5,6,7,8,9,10}, D36, E36, F36, G36, H36, I36, J36, K36, L36, 250), {1,2,3,4,5,6,7}))</f>
        <v>250</v>
      </c>
    </row>
    <row r="37" spans="2:17" ht="18.5" x14ac:dyDescent="0.45">
      <c r="B37" s="6">
        <f t="shared" si="0"/>
        <v>32</v>
      </c>
      <c r="C37" s="6" t="s">
        <v>79</v>
      </c>
      <c r="D37" s="7">
        <f>IFERROR(VLOOKUP($C37,'Etapa 1 Senior'!$E$3:$G$83,3,FALSE),0)</f>
        <v>0</v>
      </c>
      <c r="E37" s="7">
        <f>IFERROR(VLOOKUP($C37,'Etapa 2 Senior'!$E$3:$G$83,3,FALSE),0)</f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 cm="1">
        <f t="array" ref="P37">SUM(LARGE(D37:O37,{1;2;3;4;5;6;7;8}))</f>
        <v>0</v>
      </c>
      <c r="Q37" s="6" cm="1">
        <f t="array" ref="Q37">SUM(LARGE(CHOOSE({1,2,3,4,5,6,7,8,9,10}, D37, E37, F37, G37, H37, I37, J37, K37, L37, 250), {1,2,3,4,5,6,7}))</f>
        <v>250</v>
      </c>
    </row>
    <row r="38" spans="2:17" ht="18.5" x14ac:dyDescent="0.45">
      <c r="B38" s="6">
        <f t="shared" si="0"/>
        <v>33</v>
      </c>
      <c r="C38" s="6" t="s">
        <v>7</v>
      </c>
      <c r="D38" s="7">
        <f>IFERROR(VLOOKUP($C38,'Etapa 1 Senior'!$E$3:$G$83,3,FALSE),0)</f>
        <v>0</v>
      </c>
      <c r="E38" s="7">
        <f>IFERROR(VLOOKUP($C38,'Etapa 2 Senior'!$E$3:$G$83,3,FALSE),0)</f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 cm="1">
        <f t="array" ref="P38">SUM(LARGE(D38:O38,{1;2;3;4;5;6;7;8}))</f>
        <v>0</v>
      </c>
      <c r="Q38" s="6" cm="1">
        <f t="array" ref="Q38">SUM(LARGE(CHOOSE({1,2,3,4,5,6,7,8,9,10}, D38, E38, F38, G38, H38, I38, J38, K38, L38, 250), {1,2,3,4,5,6,7}))</f>
        <v>250</v>
      </c>
    </row>
    <row r="39" spans="2:17" ht="18.5" x14ac:dyDescent="0.45">
      <c r="B39" s="6">
        <f t="shared" si="0"/>
        <v>34</v>
      </c>
      <c r="C39" s="6" t="s">
        <v>55</v>
      </c>
      <c r="D39" s="7">
        <f>IFERROR(VLOOKUP($C39,'Etapa 1 Senior'!$E$3:$G$83,3,FALSE),0)</f>
        <v>0</v>
      </c>
      <c r="E39" s="7">
        <f>IFERROR(VLOOKUP($C39,'Etapa 2 Senior'!$E$3:$G$83,3,FALSE),0)</f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 cm="1">
        <f t="array" ref="P39">SUM(LARGE(D39:O39,{1;2;3;4;5;6;7;8}))</f>
        <v>0</v>
      </c>
      <c r="Q39" s="6" cm="1">
        <f t="array" ref="Q39">SUM(LARGE(CHOOSE({1,2,3,4,5,6,7,8,9,10}, D39, E39, F39, G39, H39, I39, J39, K39, L39, 250), {1,2,3,4,5,6,7}))</f>
        <v>250</v>
      </c>
    </row>
    <row r="40" spans="2:17" ht="18.5" x14ac:dyDescent="0.45">
      <c r="B40" s="6">
        <f t="shared" si="0"/>
        <v>35</v>
      </c>
      <c r="C40" s="6" t="s">
        <v>112</v>
      </c>
      <c r="D40" s="7">
        <f>IFERROR(VLOOKUP($C40,'Etapa 1 Senior'!$E$3:$G$83,3,FALSE),0)</f>
        <v>0</v>
      </c>
      <c r="E40" s="7">
        <f>IFERROR(VLOOKUP($C40,'Etapa 2 Senior'!$E$3:$G$83,3,FALSE),0)</f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 cm="1">
        <f t="array" ref="P40">SUM(LARGE(D40:O40,{1;2;3;4;5;6;7;8}))</f>
        <v>0</v>
      </c>
      <c r="Q40" s="6" cm="1">
        <f t="array" ref="Q40">SUM(LARGE(CHOOSE({1,2,3,4,5,6,7,8,9,10}, D40, E40, F40, G40, H40, I40, J40, K40, L40, 250), {1,2,3,4,5,6,7}))</f>
        <v>250</v>
      </c>
    </row>
    <row r="41" spans="2:17" ht="18.5" x14ac:dyDescent="0.45">
      <c r="B41" s="6">
        <f t="shared" si="0"/>
        <v>36</v>
      </c>
      <c r="C41" s="6" t="s">
        <v>114</v>
      </c>
      <c r="D41" s="7">
        <f>IFERROR(VLOOKUP($C41,'Etapa 1 Senior'!$E$3:$G$83,3,FALSE),0)</f>
        <v>0</v>
      </c>
      <c r="E41" s="7">
        <f>IFERROR(VLOOKUP($C41,'Etapa 2 Senior'!$E$3:$G$83,3,FALSE),0)</f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 cm="1">
        <f t="array" ref="P41">SUM(LARGE(D41:O41,{1;2;3;4;5;6;7;8}))</f>
        <v>0</v>
      </c>
      <c r="Q41" s="6" cm="1">
        <f t="array" ref="Q41">SUM(LARGE(CHOOSE({1,2,3,4,5,6,7,8,9,10}, D41, E41, F41, G41, H41, I41, J41, K41, L41, 250), {1,2,3,4,5,6,7}))</f>
        <v>250</v>
      </c>
    </row>
    <row r="42" spans="2:17" ht="18.5" x14ac:dyDescent="0.45">
      <c r="B42" s="6">
        <f t="shared" si="0"/>
        <v>37</v>
      </c>
      <c r="C42" s="6" t="s">
        <v>16</v>
      </c>
      <c r="D42" s="7">
        <f>IFERROR(VLOOKUP($C42,'Etapa 1 Senior'!$E$3:$G$83,3,FALSE),0)</f>
        <v>0</v>
      </c>
      <c r="E42" s="7">
        <f>IFERROR(VLOOKUP($C42,'Etapa 2 Senior'!$E$3:$G$83,3,FALSE),0)</f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 cm="1">
        <f t="array" ref="P42">SUM(LARGE(D42:O42,{1;2;3;4;5;6;7;8}))</f>
        <v>0</v>
      </c>
      <c r="Q42" s="6" cm="1">
        <f t="array" ref="Q42">SUM(LARGE(CHOOSE({1,2,3,4,5,6,7,8,9,10}, D42, E42, F42, G42, H42, I42, J42, K42, L42, 250), {1,2,3,4,5,6,7}))</f>
        <v>250</v>
      </c>
    </row>
    <row r="43" spans="2:17" ht="18.5" x14ac:dyDescent="0.45">
      <c r="B43" s="6">
        <f t="shared" si="0"/>
        <v>38</v>
      </c>
      <c r="C43" s="6" t="s">
        <v>106</v>
      </c>
      <c r="D43" s="7">
        <f>IFERROR(VLOOKUP($C43,'Etapa 1 Senior'!$E$3:$G$83,3,FALSE),0)</f>
        <v>0</v>
      </c>
      <c r="E43" s="7">
        <f>IFERROR(VLOOKUP($C43,'Etapa 2 Senior'!$E$3:$G$83,3,FALSE),0)</f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 cm="1">
        <f t="array" ref="P43">SUM(LARGE(D43:O43,{1;2;3;4;5;6;7;8}))</f>
        <v>0</v>
      </c>
      <c r="Q43" s="6" cm="1">
        <f t="array" ref="Q43">SUM(LARGE(CHOOSE({1,2,3,4,5,6,7,8,9,10}, D43, E43, F43, G43, H43, I43, J43, K43, L43, 250), {1,2,3,4,5,6,7}))</f>
        <v>250</v>
      </c>
    </row>
    <row r="44" spans="2:17" ht="18.5" x14ac:dyDescent="0.45">
      <c r="B44" s="6">
        <f t="shared" si="0"/>
        <v>39</v>
      </c>
      <c r="C44" s="6" t="s">
        <v>102</v>
      </c>
      <c r="D44" s="7">
        <f>IFERROR(VLOOKUP($C44,'Etapa 1 Senior'!$E$3:$G$83,3,FALSE),0)</f>
        <v>0</v>
      </c>
      <c r="E44" s="7">
        <f>IFERROR(VLOOKUP($C44,'Etapa 2 Senior'!$E$3:$G$83,3,FALSE),0)</f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 cm="1">
        <f t="array" ref="P44">SUM(LARGE(D44:O44,{1;2;3;4;5;6;7;8}))</f>
        <v>0</v>
      </c>
      <c r="Q44" s="6" cm="1">
        <f t="array" ref="Q44">SUM(LARGE(CHOOSE({1,2,3,4,5,6,7,8,9,10}, D44, E44, F44, G44, H44, I44, J44, K44, L44, 250), {1,2,3,4,5,6,7}))</f>
        <v>250</v>
      </c>
    </row>
    <row r="45" spans="2:17" ht="18.5" x14ac:dyDescent="0.45">
      <c r="B45" s="6">
        <f t="shared" si="0"/>
        <v>40</v>
      </c>
      <c r="C45" s="6" t="s">
        <v>97</v>
      </c>
      <c r="D45" s="7">
        <f>IFERROR(VLOOKUP($C45,'Etapa 1 Senior'!$E$3:$G$83,3,FALSE),0)</f>
        <v>0</v>
      </c>
      <c r="E45" s="7">
        <f>IFERROR(VLOOKUP($C45,'Etapa 2 Senior'!$E$3:$G$83,3,FALSE),0)</f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 cm="1">
        <f t="array" ref="P45">SUM(LARGE(D45:O45,{1;2;3;4;5;6;7;8}))</f>
        <v>0</v>
      </c>
      <c r="Q45" s="6" cm="1">
        <f t="array" ref="Q45">SUM(LARGE(CHOOSE({1,2,3,4,5,6,7,8,9,10}, D45, E45, F45, G45, H45, I45, J45, K45, L45, 250), {1,2,3,4,5,6,7}))</f>
        <v>250</v>
      </c>
    </row>
    <row r="46" spans="2:17" ht="18.5" x14ac:dyDescent="0.45">
      <c r="B46" s="6">
        <f t="shared" si="0"/>
        <v>41</v>
      </c>
      <c r="C46" s="6" t="s">
        <v>61</v>
      </c>
      <c r="D46" s="7">
        <f>IFERROR(VLOOKUP($C46,'Etapa 1 Senior'!$E$3:$G$83,3,FALSE),0)</f>
        <v>0</v>
      </c>
      <c r="E46" s="7">
        <f>IFERROR(VLOOKUP($C46,'Etapa 2 Senior'!$E$3:$G$83,3,FALSE),0)</f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 cm="1">
        <f t="array" ref="P46">SUM(LARGE(D46:O46,{1;2;3;4;5;6;7;8}))</f>
        <v>0</v>
      </c>
      <c r="Q46" s="6" cm="1">
        <f t="array" ref="Q46">SUM(LARGE(CHOOSE({1,2,3,4,5,6,7,8,9,10}, D46, E46, F46, G46, H46, I46, J46, K46, L46, 250), {1,2,3,4,5,6,7}))</f>
        <v>250</v>
      </c>
    </row>
    <row r="47" spans="2:17" ht="18.5" x14ac:dyDescent="0.45">
      <c r="B47" s="6">
        <f t="shared" si="0"/>
        <v>42</v>
      </c>
      <c r="C47" s="6" t="s">
        <v>5</v>
      </c>
      <c r="D47" s="7">
        <f>IFERROR(VLOOKUP($C47,'Etapa 1 Senior'!$E$3:$G$83,3,FALSE),0)</f>
        <v>0</v>
      </c>
      <c r="E47" s="7">
        <f>IFERROR(VLOOKUP($C47,'Etapa 2 Senior'!$E$3:$G$83,3,FALSE),0)</f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 cm="1">
        <f t="array" ref="P47">SUM(LARGE(D47:O47,{1;2;3;4;5;6;7;8}))</f>
        <v>0</v>
      </c>
      <c r="Q47" s="6" cm="1">
        <f t="array" ref="Q47">SUM(LARGE(CHOOSE({1,2,3,4,5,6,7,8,9,10}, D47, E47, F47, G47, H47, I47, J47, K47, L47, 250), {1,2,3,4,5,6,7}))</f>
        <v>250</v>
      </c>
    </row>
    <row r="48" spans="2:17" ht="18.5" x14ac:dyDescent="0.45">
      <c r="B48" s="6">
        <f t="shared" si="0"/>
        <v>43</v>
      </c>
      <c r="C48" s="6" t="s">
        <v>52</v>
      </c>
      <c r="D48" s="7">
        <f>IFERROR(VLOOKUP($C48,'Etapa 1 Senior'!$E$3:$G$83,3,FALSE),0)</f>
        <v>0</v>
      </c>
      <c r="E48" s="7">
        <f>IFERROR(VLOOKUP($C48,'Etapa 2 Senior'!$E$3:$G$83,3,FALSE),0)</f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 cm="1">
        <f t="array" ref="P48">SUM(LARGE(D48:O48,{1;2;3;4;5;6;7;8}))</f>
        <v>0</v>
      </c>
      <c r="Q48" s="6" cm="1">
        <f t="array" ref="Q48">SUM(LARGE(CHOOSE({1,2,3,4,5,6,7,8,9,10}, D48, E48, F48, G48, H48, I48, J48, K48, L48, 250), {1,2,3,4,5,6,7}))</f>
        <v>250</v>
      </c>
    </row>
    <row r="49" spans="2:17" ht="18.5" x14ac:dyDescent="0.45">
      <c r="B49" s="6">
        <f t="shared" si="0"/>
        <v>44</v>
      </c>
      <c r="C49" s="6" t="s">
        <v>23</v>
      </c>
      <c r="D49" s="7">
        <f>IFERROR(VLOOKUP($C49,'Etapa 1 Senior'!$E$3:$G$83,3,FALSE),0)</f>
        <v>0</v>
      </c>
      <c r="E49" s="7">
        <f>IFERROR(VLOOKUP($C49,'Etapa 2 Senior'!$E$3:$G$83,3,FALSE),0)</f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 cm="1">
        <f t="array" ref="P49">SUM(LARGE(D49:O49,{1;2;3;4;5;6;7;8}))</f>
        <v>0</v>
      </c>
      <c r="Q49" s="6" cm="1">
        <f t="array" ref="Q49">SUM(LARGE(CHOOSE({1,2,3,4,5,6,7,8,9,10}, D49, E49, F49, G49, H49, I49, J49, K49, L49, 250), {1,2,3,4,5,6,7}))</f>
        <v>250</v>
      </c>
    </row>
  </sheetData>
  <mergeCells count="1">
    <mergeCell ref="B3:D4"/>
  </mergeCells>
  <phoneticPr fontId="9" type="noConversion"/>
  <conditionalFormatting sqref="D6:O49">
    <cfRule type="expression" dxfId="2" priority="1">
      <formula>D6&lt;=SMALL($D6:$M6,3)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A75F-4434-4161-9383-1A8EDBA7C752}">
  <sheetPr codeName="Hoja4"/>
  <dimension ref="B3:V52"/>
  <sheetViews>
    <sheetView zoomScale="90" zoomScaleNormal="90" workbookViewId="0">
      <selection activeCell="G57" sqref="G57"/>
    </sheetView>
  </sheetViews>
  <sheetFormatPr baseColWidth="10" defaultRowHeight="14.5" x14ac:dyDescent="0.35"/>
  <cols>
    <col min="2" max="2" width="10" bestFit="1" customWidth="1"/>
    <col min="3" max="3" width="36.453125" bestFit="1" customWidth="1"/>
    <col min="4" max="6" width="11" bestFit="1" customWidth="1"/>
    <col min="7" max="15" width="10.90625" customWidth="1"/>
    <col min="16" max="16" width="12.54296875" bestFit="1" customWidth="1"/>
    <col min="17" max="17" width="26.7265625" bestFit="1" customWidth="1"/>
  </cols>
  <sheetData>
    <row r="3" spans="2:22" x14ac:dyDescent="0.35">
      <c r="B3" s="16" t="s">
        <v>50</v>
      </c>
      <c r="C3" s="16"/>
      <c r="D3" s="16"/>
    </row>
    <row r="4" spans="2:22" x14ac:dyDescent="0.35">
      <c r="B4" s="16"/>
      <c r="C4" s="16"/>
      <c r="D4" s="16"/>
    </row>
    <row r="5" spans="2:22" x14ac:dyDescent="0.35">
      <c r="B5" s="3" t="s">
        <v>48</v>
      </c>
      <c r="C5" t="s">
        <v>0</v>
      </c>
      <c r="D5" s="3" t="s">
        <v>49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135</v>
      </c>
      <c r="O5" s="3" t="s">
        <v>136</v>
      </c>
      <c r="P5" s="3" t="s">
        <v>73</v>
      </c>
      <c r="Q5" s="3" t="s">
        <v>118</v>
      </c>
    </row>
    <row r="6" spans="2:22" ht="18.5" x14ac:dyDescent="0.45">
      <c r="B6" s="6">
        <f>ROW() - ROW($B$6) + 1</f>
        <v>1</v>
      </c>
      <c r="C6" s="6" t="s">
        <v>90</v>
      </c>
      <c r="D6" s="7">
        <f>IFERROR(VLOOKUP($C6,'Etapa 1 Rookie'!$E$3:$G$83,3,FALSE),0)</f>
        <v>230</v>
      </c>
      <c r="E6" s="7">
        <f>IFERROR(VLOOKUP($C6,'Etapa 2 Rookie'!$E$3:$G$83,3,FALSE),0)</f>
        <v>250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 cm="1">
        <f t="array" ref="P6">SUM(LARGE(D6:O6,{1;2;3;4;5;6;7;8}))</f>
        <v>480</v>
      </c>
      <c r="Q6" s="6" cm="1">
        <f t="array" ref="Q6">SUM(LARGE(CHOOSE({1,2,3,4,5,6,7,8,9,10}, D6, E6, F6, G6, H6, I6, J6, K6, L6, 250), {1,2,3,4,5,6,7}))</f>
        <v>730</v>
      </c>
      <c r="U6" s="11" t="s">
        <v>119</v>
      </c>
      <c r="V6" s="11" t="s">
        <v>120</v>
      </c>
    </row>
    <row r="7" spans="2:22" ht="18.5" x14ac:dyDescent="0.45">
      <c r="B7" s="6">
        <f>ROW() - ROW($B$6) + 1</f>
        <v>2</v>
      </c>
      <c r="C7" s="6" t="s">
        <v>63</v>
      </c>
      <c r="D7" s="7">
        <f>IFERROR(VLOOKUP($C7,'Etapa 1 Rookie'!$E$3:$G$83,3,FALSE),0)</f>
        <v>250</v>
      </c>
      <c r="E7" s="7">
        <f>IFERROR(VLOOKUP($C7,'Etapa 2 Rookie'!$E$3:$G$83,3,FALSE),0)</f>
        <v>215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 cm="1">
        <f t="array" ref="P7">SUM(LARGE(D7:O7,{1;2;3;4;5;6;7;8}))</f>
        <v>465</v>
      </c>
      <c r="Q7" s="15" cm="1">
        <f t="array" ref="Q7">SUM(LARGE(CHOOSE({1,2,3,4,5,6,7,8,9,10}, D7, E7, F7, G7, H7, I7, J7, K7, L7, 250), {1,2,3,4,5,6,7}))</f>
        <v>715</v>
      </c>
      <c r="U7" s="11" t="s">
        <v>121</v>
      </c>
      <c r="V7" s="11" t="s">
        <v>122</v>
      </c>
    </row>
    <row r="8" spans="2:22" ht="18.5" x14ac:dyDescent="0.45">
      <c r="B8" s="6">
        <f>ROW() - ROW($B$6) + 1</f>
        <v>3</v>
      </c>
      <c r="C8" s="6" t="s">
        <v>9</v>
      </c>
      <c r="D8" s="7">
        <f>IFERROR(VLOOKUP($C8,'Etapa 1 Rookie'!$E$3:$G$83,3,FALSE),0)</f>
        <v>215</v>
      </c>
      <c r="E8" s="7">
        <f>IFERROR(VLOOKUP($C8,'Etapa 2 Rookie'!$E$3:$G$83,3,FALSE),0)</f>
        <v>160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 cm="1">
        <f t="array" ref="P8">SUM(LARGE(D8:O8,{1;2;3;4;5;6;7;8}))</f>
        <v>375</v>
      </c>
      <c r="Q8" s="15" cm="1">
        <f t="array" ref="Q8">SUM(LARGE(CHOOSE({1,2,3,4,5,6,7,8,9,10}, D8, E8, F8, G8, H8, I8, J8, K8, L8, 250), {1,2,3,4,5,6,7}))</f>
        <v>625</v>
      </c>
      <c r="U8" s="11" t="s">
        <v>123</v>
      </c>
      <c r="V8" s="11" t="s">
        <v>124</v>
      </c>
    </row>
    <row r="9" spans="2:22" ht="18.5" x14ac:dyDescent="0.45">
      <c r="B9" s="6">
        <f>ROW() - ROW($B$6) + 1</f>
        <v>4</v>
      </c>
      <c r="C9" s="6" t="s">
        <v>88</v>
      </c>
      <c r="D9" s="7">
        <f>IFERROR(VLOOKUP($C9,'Etapa 1 Rookie'!$E$3:$G$83,3,FALSE),0)</f>
        <v>185</v>
      </c>
      <c r="E9" s="7">
        <f>IFERROR(VLOOKUP($C9,'Etapa 2 Rookie'!$E$3:$G$83,3,FALSE),0)</f>
        <v>170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 cm="1">
        <f t="array" ref="P9">SUM(LARGE(D9:O9,{1;2;3;4;5;6;7;8}))</f>
        <v>355</v>
      </c>
      <c r="Q9" s="6" cm="1">
        <f t="array" ref="Q9">SUM(LARGE(CHOOSE({1,2,3,4,5,6,7,8,9,10}, D9, E9, F9, G9, H9, I9, J9, K9, L9, 250), {1,2,3,4,5,6,7}))</f>
        <v>605</v>
      </c>
    </row>
    <row r="10" spans="2:22" ht="18.5" x14ac:dyDescent="0.45">
      <c r="B10" s="6">
        <f>ROW() - ROW($B$6) + 1</f>
        <v>5</v>
      </c>
      <c r="C10" s="6" t="s">
        <v>82</v>
      </c>
      <c r="D10" s="7">
        <f>IFERROR(VLOOKUP($C10,'Etapa 1 Rookie'!$E$3:$G$83,3,FALSE),0)</f>
        <v>165</v>
      </c>
      <c r="E10" s="7">
        <f>IFERROR(VLOOKUP($C10,'Etapa 2 Rookie'!$E$3:$G$83,3,FALSE),0)</f>
        <v>190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 cm="1">
        <f t="array" ref="P10">SUM(LARGE(D10:O10,{1;2;3;4;5;6;7;8}))</f>
        <v>355</v>
      </c>
      <c r="Q10" s="6" cm="1">
        <f t="array" ref="Q10">SUM(LARGE(CHOOSE({1,2,3,4,5,6,7,8,9,10}, D10, E10, F10, G10, H10, I10, J10, K10, L10, 250), {1,2,3,4,5,6,7}))</f>
        <v>605</v>
      </c>
    </row>
    <row r="11" spans="2:22" ht="18.5" x14ac:dyDescent="0.45">
      <c r="B11" s="6">
        <f>ROW() - ROW($B$6) + 1</f>
        <v>6</v>
      </c>
      <c r="C11" s="6" t="s">
        <v>58</v>
      </c>
      <c r="D11" s="7">
        <f>IFERROR(VLOOKUP($C11,'Etapa 1 Rookie'!$E$3:$G$83,3,FALSE),0)</f>
        <v>165</v>
      </c>
      <c r="E11" s="7">
        <f>IFERROR(VLOOKUP($C11,'Etapa 2 Rookie'!$E$3:$G$83,3,FALSE),0)</f>
        <v>180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 cm="1">
        <f t="array" ref="P11">SUM(LARGE(D11:O11,{1;2;3;4;5;6;7;8}))</f>
        <v>345</v>
      </c>
      <c r="Q11" s="6" cm="1">
        <f t="array" ref="Q11">SUM(LARGE(CHOOSE({1,2,3,4,5,6,7,8,9,10}, D11, E11, F11, G11, H11, I11, J11, K11, L11, 250), {1,2,3,4,5,6,7}))</f>
        <v>595</v>
      </c>
    </row>
    <row r="12" spans="2:22" ht="18.5" x14ac:dyDescent="0.45">
      <c r="B12" s="6">
        <v>10</v>
      </c>
      <c r="C12" s="6" t="s">
        <v>94</v>
      </c>
      <c r="D12" s="7">
        <f>IFERROR(VLOOKUP($C12,'Etapa 1 Rookie'!$E$3:$G$83,3,FALSE),0)</f>
        <v>140</v>
      </c>
      <c r="E12" s="7">
        <f>IFERROR(VLOOKUP($C12,'Etapa 2 Rookie'!$E$3:$G$83,3,FALSE),0)</f>
        <v>200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 cm="1">
        <f t="array" ref="P12">SUM(LARGE(D12:O12,{1;2;3;4;5;6;7;8}))</f>
        <v>340</v>
      </c>
      <c r="Q12" s="6" cm="1">
        <f t="array" ref="Q12">SUM(LARGE(CHOOSE({1,2,3,4,5,6,7,8,9,10}, D12, E12, F12, G12, H12, I12, J12, K12, L12, 250), {1,2,3,4,5,6,7}))</f>
        <v>590</v>
      </c>
    </row>
    <row r="13" spans="2:22" ht="18.5" x14ac:dyDescent="0.45">
      <c r="B13" s="6">
        <f>ROW() - ROW($B$6) + 1</f>
        <v>8</v>
      </c>
      <c r="C13" s="6" t="s">
        <v>76</v>
      </c>
      <c r="D13" s="7">
        <f>IFERROR(VLOOKUP($C13,'Etapa 1 Rookie'!$E$3:$G$83,3,FALSE),0)</f>
        <v>200</v>
      </c>
      <c r="E13" s="7">
        <f>IFERROR(VLOOKUP($C13,'Etapa 2 Rookie'!$E$3:$G$83,3,FALSE),0)</f>
        <v>120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 cm="1">
        <f t="array" ref="P13">SUM(LARGE(D13:O13,{1;2;3;4;5;6;7;8}))</f>
        <v>320</v>
      </c>
      <c r="Q13" s="6" cm="1">
        <f t="array" ref="Q13">SUM(LARGE(CHOOSE({1,2,3,4,5,6,7,8,9,10}, D13, E13, F13, G13, H13, I13, J13, K13, L13, 250), {1,2,3,4,5,6,7}))</f>
        <v>570</v>
      </c>
    </row>
    <row r="14" spans="2:22" ht="18.5" x14ac:dyDescent="0.45">
      <c r="B14" s="6">
        <v>9</v>
      </c>
      <c r="C14" s="6" t="s">
        <v>109</v>
      </c>
      <c r="D14" s="7">
        <f>IFERROR(VLOOKUP($C14,'Etapa 1 Rookie'!$E$3:$G$83,3,FALSE),0)</f>
        <v>150</v>
      </c>
      <c r="E14" s="7">
        <f>IFERROR(VLOOKUP($C14,'Etapa 2 Rookie'!$E$3:$G$83,3,FALSE),0)</f>
        <v>130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 cm="1">
        <f t="array" ref="P14">SUM(LARGE(D14:O14,{1;2;3;4;5;6;7;8}))</f>
        <v>280</v>
      </c>
      <c r="Q14" s="6" cm="1">
        <f t="array" ref="Q14">SUM(LARGE(CHOOSE({1,2,3,4,5,6,7,8,9,10}, D14, E14, F14, G14, H14, I14, J14, K14, L14, 250), {1,2,3,4,5,6,7}))</f>
        <v>530</v>
      </c>
    </row>
    <row r="15" spans="2:22" ht="18.5" x14ac:dyDescent="0.45">
      <c r="B15" s="6">
        <f>ROW() - ROW($B$6) + 1</f>
        <v>10</v>
      </c>
      <c r="C15" s="6" t="s">
        <v>20</v>
      </c>
      <c r="D15" s="7">
        <f>IFERROR(VLOOKUP($C15,'Etapa 1 Rookie'!$E$3:$G$83,3,FALSE),0)</f>
        <v>0</v>
      </c>
      <c r="E15" s="7">
        <f>IFERROR(VLOOKUP($C15,'Etapa 2 Rookie'!$E$3:$G$83,3,FALSE),0)</f>
        <v>230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 cm="1">
        <f t="array" ref="P15">SUM(LARGE(D15:O15,{1;2;3;4;5;6;7;8}))</f>
        <v>230</v>
      </c>
      <c r="Q15" s="6" cm="1">
        <f t="array" ref="Q15">SUM(LARGE(CHOOSE({1,2,3,4,5,6,7,8,9,10}, D15, E15, F15, G15, H15, I15, J15, K15, L15, 250), {1,2,3,4,5,6,7}))</f>
        <v>480</v>
      </c>
    </row>
    <row r="16" spans="2:22" ht="18.5" x14ac:dyDescent="0.45">
      <c r="B16" s="6">
        <v>11</v>
      </c>
      <c r="C16" s="6" t="s">
        <v>106</v>
      </c>
      <c r="D16" s="7">
        <f>IFERROR(VLOOKUP($C16,'Etapa 1 Rookie'!$E$3:$G$83,3,FALSE),0)</f>
        <v>130</v>
      </c>
      <c r="E16" s="7">
        <f>IFERROR(VLOOKUP($C16,'Etapa 2 Rookie'!$E$3:$G$83,3,FALSE),0)</f>
        <v>95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 cm="1">
        <f t="array" ref="P16">SUM(LARGE(D16:O16,{1;2;3;4;5;6;7;8}))</f>
        <v>225</v>
      </c>
      <c r="Q16" s="6" cm="1">
        <f t="array" ref="Q16">SUM(LARGE(CHOOSE({1,2,3,4,5,6,7,8,9,10}, D16, E16, F16, G16, H16, I16, J16, K16, L16, 250), {1,2,3,4,5,6,7}))</f>
        <v>475</v>
      </c>
    </row>
    <row r="17" spans="2:17" ht="18.5" x14ac:dyDescent="0.45">
      <c r="B17" s="6">
        <v>12</v>
      </c>
      <c r="C17" s="6" t="s">
        <v>138</v>
      </c>
      <c r="D17" s="7">
        <f>IFERROR(VLOOKUP($C17,'Etapa 1 Rookie'!$E$3:$G$83,3,FALSE),0)</f>
        <v>120</v>
      </c>
      <c r="E17" s="7">
        <f>IFERROR(VLOOKUP($C17,'Etapa 2 Rookie'!$E$3:$G$83,3,FALSE),0)</f>
        <v>100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 cm="1">
        <f t="array" ref="P17">SUM(LARGE(D17:O17,{1;2;3;4;5;6;7;8}))</f>
        <v>220</v>
      </c>
      <c r="Q17" s="6" cm="1">
        <f t="array" ref="Q17">SUM(LARGE(CHOOSE({1,2,3,4,5,6,7,8,9,10}, D17, E17, F17, G17, H17, I17, J17, K17, L17, 250), {1,2,3,4,5,6,7}))</f>
        <v>470</v>
      </c>
    </row>
    <row r="18" spans="2:17" ht="18.5" x14ac:dyDescent="0.45">
      <c r="B18" s="6">
        <f>ROW() - ROW($B$7) + 1</f>
        <v>12</v>
      </c>
      <c r="C18" s="6" t="s">
        <v>104</v>
      </c>
      <c r="D18" s="7">
        <f>IFERROR(VLOOKUP($C18,'Etapa 1 Rookie'!$E$3:$G$83,3,FALSE),0)</f>
        <v>185</v>
      </c>
      <c r="E18" s="7">
        <f>IFERROR(VLOOKUP($C18,'Etapa 2 Rookie'!$E$3:$G$83,3,FALSE),0)</f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 cm="1">
        <f t="array" ref="P18">SUM(LARGE(D18:O18,{1;2;3;4;5;6;7;8}))</f>
        <v>185</v>
      </c>
      <c r="Q18" s="6" cm="1">
        <f t="array" ref="Q18">SUM(LARGE(CHOOSE({1,2,3,4,5,6,7,8,9,10}, D18, E18, F18, G18, H18, I18, J18, K18, L18, 250), {1,2,3,4,5,6,7}))</f>
        <v>435</v>
      </c>
    </row>
    <row r="19" spans="2:17" ht="18.5" x14ac:dyDescent="0.45">
      <c r="B19" s="6">
        <f>ROW() - ROW($B$6) + 1</f>
        <v>14</v>
      </c>
      <c r="C19" s="6" t="s">
        <v>86</v>
      </c>
      <c r="D19" s="7">
        <f>IFERROR(VLOOKUP($C19,'Etapa 1 Rookie'!$E$3:$G$83,3,FALSE),0)</f>
        <v>0</v>
      </c>
      <c r="E19" s="7">
        <f>IFERROR(VLOOKUP($C19,'Etapa 2 Rookie'!$E$3:$G$83,3,FALSE),0)</f>
        <v>145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 cm="1">
        <f t="array" ref="P19">SUM(LARGE(D19:O19,{1;2;3;4;5;6;7;8}))</f>
        <v>145</v>
      </c>
      <c r="Q19" s="6" cm="1">
        <f t="array" ref="Q19">SUM(LARGE(CHOOSE({1,2,3,4,5,6,7,8,9,10}, D19, E19, F19, G19, H19, I19, J19, K19, L19, 250), {1,2,3,4,5,6,7}))</f>
        <v>395</v>
      </c>
    </row>
    <row r="20" spans="2:17" ht="18.5" x14ac:dyDescent="0.45">
      <c r="B20" s="17">
        <f>ROW() - ROW($B$7) + 1</f>
        <v>14</v>
      </c>
      <c r="C20" s="17" t="s">
        <v>143</v>
      </c>
      <c r="D20" s="7">
        <f>IFERROR(VLOOKUP($C20,'Etapa 1 Rookie'!$E$3:$G$83,3,FALSE),0)</f>
        <v>0</v>
      </c>
      <c r="E20" s="7">
        <f>IFERROR(VLOOKUP($C20,'Etapa 2 Rookie'!$E$3:$G$83,3,FALSE),0)</f>
        <v>145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18" cm="1">
        <f t="array" ref="P20">SUM(LARGE(D20:O20,{1;2;3;4;5;6;7;8}))</f>
        <v>145</v>
      </c>
      <c r="Q20" s="19" cm="1">
        <f t="array" ref="Q20">SUM(LARGE(CHOOSE({1,2,3,4,5,6,7,8,9,10}, D20, E20, F20, G20, H20, I20, J20, K20, L20, 250), {1,2,3,4,5,6,7}))</f>
        <v>395</v>
      </c>
    </row>
    <row r="21" spans="2:17" ht="18.5" x14ac:dyDescent="0.45">
      <c r="B21" s="17">
        <f>ROW() - ROW($B$7) + 1</f>
        <v>15</v>
      </c>
      <c r="C21" s="17" t="s">
        <v>144</v>
      </c>
      <c r="D21" s="7">
        <f>IFERROR(VLOOKUP($C21,'Etapa 1 Rookie'!$E$3:$G$83,3,FALSE),0)</f>
        <v>0</v>
      </c>
      <c r="E21" s="7">
        <f>IFERROR(VLOOKUP($C21,'Etapa 2 Rookie'!$E$3:$G$83,3,FALSE),0)</f>
        <v>110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18" cm="1">
        <f t="array" ref="P21">SUM(LARGE(D21:O21,{1;2;3;4;5;6;7;8}))</f>
        <v>110</v>
      </c>
      <c r="Q21" s="19" cm="1">
        <f t="array" ref="Q21">SUM(LARGE(CHOOSE({1,2,3,4,5,6,7,8,9,10}, D21, E21, F21, G21, H21, I21, J21, K21, L21, 250), {1,2,3,4,5,6,7}))</f>
        <v>360</v>
      </c>
    </row>
    <row r="22" spans="2:17" ht="18.5" x14ac:dyDescent="0.45">
      <c r="B22" s="6">
        <f>ROW() - ROW($B$6) + 1</f>
        <v>17</v>
      </c>
      <c r="C22" s="6" t="s">
        <v>38</v>
      </c>
      <c r="D22" s="7">
        <f>IFERROR(VLOOKUP($C22,'Etapa 1 Rookie'!$E$3:$G$83,3,FALSE),0)</f>
        <v>0</v>
      </c>
      <c r="E22" s="7">
        <f>IFERROR(VLOOKUP($C22,'Etapa 2 Rookie'!$E$3:$G$83,3,FALSE),0)</f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 cm="1">
        <f t="array" ref="P22">SUM(LARGE(D22:O22,{1;2;3;4;5;6;7;8}))</f>
        <v>0</v>
      </c>
      <c r="Q22" s="6" cm="1">
        <f t="array" ref="Q22">SUM(LARGE(CHOOSE({1,2,3,4,5,6,7,8,9,10}, D22, E22, F22, G22, H22, I22, J22, K22, L22, 250), {1,2,3,4,5,6,7}))</f>
        <v>250</v>
      </c>
    </row>
    <row r="23" spans="2:17" ht="18.5" x14ac:dyDescent="0.45">
      <c r="B23" s="6">
        <f>ROW() - ROW($B$6) + 1</f>
        <v>18</v>
      </c>
      <c r="C23" s="6" t="s">
        <v>22</v>
      </c>
      <c r="D23" s="7">
        <f>IFERROR(VLOOKUP($C23,'Etapa 1 Rookie'!$E$3:$G$83,3,FALSE),0)</f>
        <v>0</v>
      </c>
      <c r="E23" s="7">
        <f>IFERROR(VLOOKUP($C23,'Etapa 2 Rookie'!$E$3:$G$83,3,FALSE),0)</f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 cm="1">
        <f t="array" ref="P23">SUM(LARGE(D23:O23,{1;2;3;4;5;6;7;8}))</f>
        <v>0</v>
      </c>
      <c r="Q23" s="6" cm="1">
        <f t="array" ref="Q23">SUM(LARGE(CHOOSE({1,2,3,4,5,6,7,8,9,10}, D23, E23, F23, G23, H23, I23, J23, K23, L23, 250), {1,2,3,4,5,6,7}))</f>
        <v>250</v>
      </c>
    </row>
    <row r="24" spans="2:17" ht="18.5" x14ac:dyDescent="0.45">
      <c r="B24" s="6">
        <v>1</v>
      </c>
      <c r="C24" s="6" t="s">
        <v>31</v>
      </c>
      <c r="D24" s="7">
        <f>IFERROR(VLOOKUP($C24,'Etapa 1 Rookie'!$E$3:$G$83,3,FALSE),0)</f>
        <v>0</v>
      </c>
      <c r="E24" s="7">
        <f>IFERROR(VLOOKUP($C24,'Etapa 2 Rookie'!$E$3:$G$83,3,FALSE),0)</f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 cm="1">
        <f t="array" ref="P24">SUM(LARGE(D24:O24,{1;2;3;4;5;6;7;8}))</f>
        <v>0</v>
      </c>
      <c r="Q24" s="13" cm="1">
        <f t="array" ref="Q24">SUM(LARGE(CHOOSE({1,2,3,4,5,6,7,8,9,10}, D24, E24, F24, G24, H24, I24, J24, K24, L24, 250), {1,2,3,4,5,6,7}))</f>
        <v>250</v>
      </c>
    </row>
    <row r="25" spans="2:17" ht="18.5" x14ac:dyDescent="0.45">
      <c r="B25" s="6">
        <f>ROW() - ROW($B$6) + 1</f>
        <v>20</v>
      </c>
      <c r="C25" s="6" t="s">
        <v>53</v>
      </c>
      <c r="D25" s="7">
        <f>IFERROR(VLOOKUP($C25,'Etapa 1 Rookie'!$E$3:$G$83,3,FALSE),0)</f>
        <v>0</v>
      </c>
      <c r="E25" s="7">
        <f>IFERROR(VLOOKUP($C25,'Etapa 2 Rookie'!$E$3:$G$83,3,FALSE),0)</f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 cm="1">
        <f t="array" ref="P25">SUM(LARGE(D25:O25,{1;2;3;4;5;6;7;8}))</f>
        <v>0</v>
      </c>
      <c r="Q25" s="8" cm="1">
        <f t="array" ref="Q25">SUM(LARGE(CHOOSE({1,2,3,4,5,6,7,8,9,10}, D25, E25, F25, G25, H25, I25, J25, K25, L25, 250), {1,2,3,4,5,6,7}))</f>
        <v>250</v>
      </c>
    </row>
    <row r="26" spans="2:17" ht="18.5" x14ac:dyDescent="0.45">
      <c r="B26" s="6">
        <f>ROW() - ROW($B$6) + 1</f>
        <v>21</v>
      </c>
      <c r="C26" s="6" t="s">
        <v>27</v>
      </c>
      <c r="D26" s="7">
        <f>IFERROR(VLOOKUP($C26,'Etapa 1 Rookie'!$E$3:$G$83,3,FALSE),0)</f>
        <v>0</v>
      </c>
      <c r="E26" s="7">
        <f>IFERROR(VLOOKUP($C26,'Etapa 2 Rookie'!$E$3:$G$83,3,FALSE),0)</f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 cm="1">
        <f t="array" ref="P26">SUM(LARGE(D26:O26,{1;2;3;4;5;6;7;8}))</f>
        <v>0</v>
      </c>
      <c r="Q26" s="8" cm="1">
        <f t="array" ref="Q26">SUM(LARGE(CHOOSE({1,2,3,4,5,6,7,8,9,10}, D26, E26, F26, G26, H26, I26, J26, K26, L26, 250), {1,2,3,4,5,6,7}))</f>
        <v>250</v>
      </c>
    </row>
    <row r="27" spans="2:17" ht="18.5" x14ac:dyDescent="0.45">
      <c r="B27" s="6">
        <f>ROW() - ROW($B$6) + 1</f>
        <v>22</v>
      </c>
      <c r="C27" s="6" t="s">
        <v>11</v>
      </c>
      <c r="D27" s="7">
        <f>IFERROR(VLOOKUP($C27,'Etapa 1 Rookie'!$E$3:$G$83,3,FALSE),0)</f>
        <v>0</v>
      </c>
      <c r="E27" s="7">
        <f>IFERROR(VLOOKUP($C27,'Etapa 2 Rookie'!$E$3:$G$83,3,FALSE),0)</f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 cm="1">
        <f t="array" ref="P27">SUM(LARGE(D27:O27,{1;2;3;4;5;6;7;8}))</f>
        <v>0</v>
      </c>
      <c r="Q27" s="6" cm="1">
        <f t="array" ref="Q27">SUM(LARGE(CHOOSE({1,2,3,4,5,6,7,8,9,10}, D27, E27, F27, G27, H27, I27, J27, K27, L27, 250), {1,2,3,4,5,6,7}))</f>
        <v>250</v>
      </c>
    </row>
    <row r="28" spans="2:17" ht="18.5" x14ac:dyDescent="0.45">
      <c r="B28" s="6">
        <f>ROW() - ROW($B$6) + 1</f>
        <v>23</v>
      </c>
      <c r="C28" s="6" t="s">
        <v>15</v>
      </c>
      <c r="D28" s="7">
        <f>IFERROR(VLOOKUP($C28,'Etapa 1 Rookie'!$E$3:$G$83,3,FALSE),0)</f>
        <v>0</v>
      </c>
      <c r="E28" s="7">
        <f>IFERROR(VLOOKUP($C28,'Etapa 2 Rookie'!$E$3:$G$83,3,FALSE),0)</f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 cm="1">
        <f t="array" ref="P28">SUM(LARGE(D28:O28,{1;2;3;4;5;6;7;8}))</f>
        <v>0</v>
      </c>
      <c r="Q28" s="6" cm="1">
        <f t="array" ref="Q28">SUM(LARGE(CHOOSE({1,2,3,4,5,6,7,8,9,10}, D28, E28, F28, G28, H28, I28, J28, K28, L28, 250), {1,2,3,4,5,6,7}))</f>
        <v>250</v>
      </c>
    </row>
    <row r="29" spans="2:17" ht="18.5" x14ac:dyDescent="0.45">
      <c r="B29" s="6">
        <f>ROW() - ROW($B$6) + 1</f>
        <v>24</v>
      </c>
      <c r="C29" s="6" t="s">
        <v>19</v>
      </c>
      <c r="D29" s="7">
        <f>IFERROR(VLOOKUP($C29,'Etapa 1 Rookie'!$E$3:$G$83,3,FALSE),0)</f>
        <v>0</v>
      </c>
      <c r="E29" s="7">
        <f>IFERROR(VLOOKUP($C29,'Etapa 2 Rookie'!$E$3:$G$83,3,FALSE),0)</f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 cm="1">
        <f t="array" ref="P29">SUM(LARGE(D29:O29,{1;2;3;4;5;6;7;8}))</f>
        <v>0</v>
      </c>
      <c r="Q29" s="6" cm="1">
        <f t="array" ref="Q29">SUM(LARGE(CHOOSE({1,2,3,4,5,6,7,8,9,10}, D29, E29, F29, G29, H29, I29, J29, K29, L29, 250), {1,2,3,4,5,6,7}))</f>
        <v>250</v>
      </c>
    </row>
    <row r="30" spans="2:17" ht="18.5" x14ac:dyDescent="0.45">
      <c r="B30" s="6">
        <f>ROW() - ROW($B$6) + 1</f>
        <v>25</v>
      </c>
      <c r="C30" s="6" t="s">
        <v>29</v>
      </c>
      <c r="D30" s="7">
        <f>IFERROR(VLOOKUP($C30,'Etapa 1 Rookie'!$E$3:$G$83,3,FALSE),0)</f>
        <v>0</v>
      </c>
      <c r="E30" s="7">
        <f>IFERROR(VLOOKUP($C30,'Etapa 2 Rookie'!$E$3:$G$83,3,FALSE),0)</f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 cm="1">
        <f t="array" ref="P30">SUM(LARGE(D30:O30,{1;2;3;4;5;6;7;8}))</f>
        <v>0</v>
      </c>
      <c r="Q30" s="6" cm="1">
        <f t="array" ref="Q30">SUM(LARGE(CHOOSE({1,2,3,4,5,6,7,8,9,10}, D30, E30, F30, G30, H30, I30, J30, K30, L30, 250), {1,2,3,4,5,6,7}))</f>
        <v>250</v>
      </c>
    </row>
    <row r="31" spans="2:17" ht="18.5" x14ac:dyDescent="0.45">
      <c r="B31" s="6">
        <f>ROW() - ROW($B$6) + 1</f>
        <v>26</v>
      </c>
      <c r="C31" s="6" t="s">
        <v>60</v>
      </c>
      <c r="D31" s="7">
        <f>IFERROR(VLOOKUP($C31,'Etapa 1 Rookie'!$E$3:$G$83,3,FALSE),0)</f>
        <v>0</v>
      </c>
      <c r="E31" s="7">
        <f>IFERROR(VLOOKUP($C31,'Etapa 2 Rookie'!$E$3:$G$83,3,FALSE),0)</f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 cm="1">
        <f t="array" ref="P31">SUM(LARGE(D31:O31,{1;2;3;4;5;6;7;8}))</f>
        <v>0</v>
      </c>
      <c r="Q31" s="6" cm="1">
        <f t="array" ref="Q31">SUM(LARGE(CHOOSE({1,2,3,4,5,6,7,8,9,10}, D31, E31, F31, G31, H31, I31, J31, K31, L31, 250), {1,2,3,4,5,6,7}))</f>
        <v>250</v>
      </c>
    </row>
    <row r="32" spans="2:17" ht="18.5" x14ac:dyDescent="0.45">
      <c r="B32" s="6">
        <f>ROW() - ROW($B$6) + 1</f>
        <v>27</v>
      </c>
      <c r="C32" s="6" t="s">
        <v>13</v>
      </c>
      <c r="D32" s="7">
        <f>IFERROR(VLOOKUP($C32,'Etapa 1 Rookie'!$E$3:$G$83,3,FALSE),0)</f>
        <v>0</v>
      </c>
      <c r="E32" s="7">
        <f>IFERROR(VLOOKUP($C32,'Etapa 2 Rookie'!$E$3:$G$83,3,FALSE),0)</f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 cm="1">
        <f t="array" ref="P32">SUM(LARGE(D32:O32,{1;2;3;4;5;6;7;8}))</f>
        <v>0</v>
      </c>
      <c r="Q32" s="6" cm="1">
        <f t="array" ref="Q32">SUM(LARGE(CHOOSE({1,2,3,4,5,6,7,8,9,10}, D32, E32, F32, G32, H32, I32, J32, K32, L32, 250), {1,2,3,4,5,6,7}))</f>
        <v>250</v>
      </c>
    </row>
    <row r="33" spans="2:17" ht="18.5" x14ac:dyDescent="0.45">
      <c r="B33" s="6">
        <f>ROW() - ROW($B$6) + 1</f>
        <v>28</v>
      </c>
      <c r="C33" s="6" t="s">
        <v>37</v>
      </c>
      <c r="D33" s="7">
        <f>IFERROR(VLOOKUP($C33,'Etapa 1 Rookie'!$E$3:$G$83,3,FALSE),0)</f>
        <v>0</v>
      </c>
      <c r="E33" s="7">
        <f>IFERROR(VLOOKUP($C33,'Etapa 2 Rookie'!$E$3:$G$83,3,FALSE),0)</f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 cm="1">
        <f t="array" ref="P33">SUM(LARGE(D33:O33,{1;2;3;4;5;6;7;8}))</f>
        <v>0</v>
      </c>
      <c r="Q33" s="6" cm="1">
        <f t="array" ref="Q33">SUM(LARGE(CHOOSE({1,2,3,4,5,6,7,8,9,10}, D33, E33, F33, G33, H33, I33, J33, K33, L33, 250), {1,2,3,4,5,6,7}))</f>
        <v>250</v>
      </c>
    </row>
    <row r="34" spans="2:17" ht="18.5" x14ac:dyDescent="0.45">
      <c r="B34" s="6">
        <f>ROW() - ROW($B$6) + 1</f>
        <v>29</v>
      </c>
      <c r="C34" s="6" t="s">
        <v>35</v>
      </c>
      <c r="D34" s="7">
        <f>IFERROR(VLOOKUP($C34,'Etapa 1 Rookie'!$E$3:$G$83,3,FALSE),0)</f>
        <v>0</v>
      </c>
      <c r="E34" s="7">
        <f>IFERROR(VLOOKUP($C34,'Etapa 2 Rookie'!$E$3:$G$83,3,FALSE),0)</f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 cm="1">
        <f t="array" ref="P34">SUM(LARGE(D34:O34,{1;2;3;4;5;6;7;8}))</f>
        <v>0</v>
      </c>
      <c r="Q34" s="6" cm="1">
        <f t="array" ref="Q34">SUM(LARGE(CHOOSE({1,2,3,4,5,6,7,8,9,10}, D34, E34, F34, G34, H34, I34, J34, K34, L34, 250), {1,2,3,4,5,6,7}))</f>
        <v>250</v>
      </c>
    </row>
    <row r="35" spans="2:17" ht="18.5" x14ac:dyDescent="0.45">
      <c r="B35" s="6">
        <f>ROW() - ROW($B$6) + 1</f>
        <v>30</v>
      </c>
      <c r="C35" s="6" t="s">
        <v>42</v>
      </c>
      <c r="D35" s="7">
        <f>IFERROR(VLOOKUP($C35,'Etapa 1 Rookie'!$E$3:$G$83,3,FALSE),0)</f>
        <v>0</v>
      </c>
      <c r="E35" s="7">
        <f>IFERROR(VLOOKUP($C35,'Etapa 2 Rookie'!$E$3:$G$83,3,FALSE),0)</f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 cm="1">
        <f t="array" ref="P35">SUM(LARGE(D35:O35,{1;2;3;4;5;6;7;8}))</f>
        <v>0</v>
      </c>
      <c r="Q35" s="6" cm="1">
        <f t="array" ref="Q35">SUM(LARGE(CHOOSE({1,2,3,4,5,6,7,8,9,10}, D35, E35, F35, G35, H35, I35, J35, K35, L35, 250), {1,2,3,4,5,6,7}))</f>
        <v>250</v>
      </c>
    </row>
    <row r="36" spans="2:17" ht="18.5" x14ac:dyDescent="0.45">
      <c r="B36" s="6">
        <f>ROW() - ROW($B$7) + 1</f>
        <v>30</v>
      </c>
      <c r="C36" s="6" t="s">
        <v>116</v>
      </c>
      <c r="D36" s="7">
        <f>IFERROR(VLOOKUP($C36,'Etapa 1 Rookie'!$E$3:$G$83,3,FALSE),0)</f>
        <v>0</v>
      </c>
      <c r="E36" s="7">
        <f>IFERROR(VLOOKUP($C36,'Etapa 2 Rookie'!$E$3:$G$83,3,FALSE),0)</f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 cm="1">
        <f t="array" ref="P36">SUM(LARGE(D36:O36,{1;2;3;4;5;6;7;8}))</f>
        <v>0</v>
      </c>
      <c r="Q36" s="6" cm="1">
        <f t="array" ref="Q36">SUM(LARGE(CHOOSE({1,2,3,4,5,6,7,8,9,10}, D36, E36, F36, G36, H36, I36, J36, K36, L36, 250), {1,2,3,4,5,6,7}))</f>
        <v>250</v>
      </c>
    </row>
    <row r="37" spans="2:17" ht="18.5" x14ac:dyDescent="0.45">
      <c r="B37" s="6">
        <f>ROW() - ROW($B$6) + 1</f>
        <v>32</v>
      </c>
      <c r="C37" s="6" t="s">
        <v>33</v>
      </c>
      <c r="D37" s="7">
        <f>IFERROR(VLOOKUP($C37,'Etapa 1 Rookie'!$E$3:$G$83,3,FALSE),0)</f>
        <v>0</v>
      </c>
      <c r="E37" s="7">
        <f>IFERROR(VLOOKUP($C37,'Etapa 2 Rookie'!$E$3:$G$83,3,FALSE),0)</f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 cm="1">
        <f t="array" ref="P37">SUM(LARGE(D37:O37,{1;2;3;4;5;6;7;8}))</f>
        <v>0</v>
      </c>
      <c r="Q37" s="6" cm="1">
        <f t="array" ref="Q37">SUM(LARGE(CHOOSE({1,2,3,4,5,6,7,8,9,10}, D37, E37, F37, G37, H37, I37, J37, K37, L37, 250), {1,2,3,4,5,6,7}))</f>
        <v>250</v>
      </c>
    </row>
    <row r="38" spans="2:17" ht="18.5" x14ac:dyDescent="0.45">
      <c r="B38" s="6">
        <f>ROW() - ROW($B$6) + 1</f>
        <v>33</v>
      </c>
      <c r="C38" s="6" t="s">
        <v>25</v>
      </c>
      <c r="D38" s="7">
        <f>IFERROR(VLOOKUP($C38,'Etapa 1 Rookie'!$E$3:$G$83,3,FALSE),0)</f>
        <v>0</v>
      </c>
      <c r="E38" s="7">
        <f>IFERROR(VLOOKUP($C38,'Etapa 2 Rookie'!$E$3:$G$83,3,FALSE),0)</f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 cm="1">
        <f t="array" ref="P38">SUM(LARGE(D38:O38,{1;2;3;4;5;6;7;8}))</f>
        <v>0</v>
      </c>
      <c r="Q38" s="6" cm="1">
        <f t="array" ref="Q38">SUM(LARGE(CHOOSE({1,2,3,4,5,6,7,8,9,10}, D38, E38, F38, G38, H38, I38, J38, K38, L38, 250), {1,2,3,4,5,6,7}))</f>
        <v>250</v>
      </c>
    </row>
    <row r="39" spans="2:17" ht="18.5" x14ac:dyDescent="0.45">
      <c r="B39" s="6">
        <f>ROW() - ROW($B$6) + 1</f>
        <v>34</v>
      </c>
      <c r="C39" s="6" t="s">
        <v>39</v>
      </c>
      <c r="D39" s="7">
        <f>IFERROR(VLOOKUP($C39,'Etapa 1 Rookie'!$E$3:$G$83,3,FALSE),0)</f>
        <v>0</v>
      </c>
      <c r="E39" s="7">
        <f>IFERROR(VLOOKUP($C39,'Etapa 2 Rookie'!$E$3:$G$83,3,FALSE),0)</f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 cm="1">
        <f t="array" ref="P39">SUM(LARGE(D39:O39,{1;2;3;4;5;6;7;8}))</f>
        <v>0</v>
      </c>
      <c r="Q39" s="6" cm="1">
        <f t="array" ref="Q39">SUM(LARGE(CHOOSE({1,2,3,4,5,6,7,8,9,10}, D39, E39, F39, G39, H39, I39, J39, K39, L39, 250), {1,2,3,4,5,6,7}))</f>
        <v>250</v>
      </c>
    </row>
    <row r="40" spans="2:17" ht="18.5" x14ac:dyDescent="0.45">
      <c r="B40" s="6">
        <f>ROW() - ROW($B$7) + 1</f>
        <v>34</v>
      </c>
      <c r="C40" s="6" t="s">
        <v>100</v>
      </c>
      <c r="D40" s="7">
        <f>IFERROR(VLOOKUP($C40,'Etapa 1 Rookie'!$E$3:$G$83,3,FALSE),0)</f>
        <v>0</v>
      </c>
      <c r="E40" s="7">
        <f>IFERROR(VLOOKUP($C40,'Etapa 2 Rookie'!$E$3:$G$83,3,FALSE),0)</f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 cm="1">
        <f t="array" ref="P40">SUM(LARGE(D40:O40,{1;2;3;4;5;6;7;8}))</f>
        <v>0</v>
      </c>
      <c r="Q40" s="6" cm="1">
        <f t="array" ref="Q40">SUM(LARGE(CHOOSE({1,2,3,4,5,6,7,8,9,10}, D40, E40, F40, G40, H40, I40, J40, K40, L40, 250), {1,2,3,4,5,6,7}))</f>
        <v>250</v>
      </c>
    </row>
    <row r="41" spans="2:17" ht="18.5" x14ac:dyDescent="0.45">
      <c r="B41" s="6">
        <f>ROW() - ROW($B$7) + 1</f>
        <v>35</v>
      </c>
      <c r="C41" s="6" t="s">
        <v>79</v>
      </c>
      <c r="D41" s="7">
        <f>IFERROR(VLOOKUP($C41,'Etapa 1 Rookie'!$E$3:$G$83,3,FALSE),0)</f>
        <v>0</v>
      </c>
      <c r="E41" s="7">
        <f>IFERROR(VLOOKUP($C41,'Etapa 2 Rookie'!$E$3:$G$83,3,FALSE),0)</f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 cm="1">
        <f t="array" ref="P41">SUM(LARGE(D41:O41,{1;2;3;4;5;6;7;8}))</f>
        <v>0</v>
      </c>
      <c r="Q41" s="6" cm="1">
        <f t="array" ref="Q41">SUM(LARGE(CHOOSE({1,2,3,4,5,6,7,8,9,10}, D41, E41, F41, G41, H41, I41, J41, K41, L41, 250), {1,2,3,4,5,6,7}))</f>
        <v>250</v>
      </c>
    </row>
    <row r="42" spans="2:17" ht="18.5" x14ac:dyDescent="0.45">
      <c r="B42" s="6">
        <f>ROW() - ROW($B$6) + 1</f>
        <v>37</v>
      </c>
      <c r="C42" s="6" t="s">
        <v>7</v>
      </c>
      <c r="D42" s="7">
        <f>IFERROR(VLOOKUP($C42,'Etapa 1 Rookie'!$E$3:$G$83,3,FALSE),0)</f>
        <v>0</v>
      </c>
      <c r="E42" s="7">
        <f>IFERROR(VLOOKUP($C42,'Etapa 2 Rookie'!$E$3:$G$83,3,FALSE),0)</f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 cm="1">
        <f t="array" ref="P42">SUM(LARGE(D42:O42,{1;2;3;4;5;6;7;8}))</f>
        <v>0</v>
      </c>
      <c r="Q42" s="6" cm="1">
        <f t="array" ref="Q42">SUM(LARGE(CHOOSE({1,2,3,4,5,6,7,8,9,10}, D42, E42, F42, G42, H42, I42, J42, K42, L42, 250), {1,2,3,4,5,6,7}))</f>
        <v>250</v>
      </c>
    </row>
    <row r="43" spans="2:17" ht="18.5" x14ac:dyDescent="0.45">
      <c r="B43" s="6">
        <f>ROW() - ROW($B$6) + 1</f>
        <v>38</v>
      </c>
      <c r="C43" s="6" t="s">
        <v>55</v>
      </c>
      <c r="D43" s="7">
        <f>IFERROR(VLOOKUP($C43,'Etapa 1 Rookie'!$E$3:$G$83,3,FALSE),0)</f>
        <v>0</v>
      </c>
      <c r="E43" s="7">
        <f>IFERROR(VLOOKUP($C43,'Etapa 2 Rookie'!$E$3:$G$83,3,FALSE),0)</f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 cm="1">
        <f t="array" ref="P43">SUM(LARGE(D43:O43,{1;2;3;4;5;6;7;8}))</f>
        <v>0</v>
      </c>
      <c r="Q43" s="6" cm="1">
        <f t="array" ref="Q43">SUM(LARGE(CHOOSE({1,2,3,4,5,6,7,8,9,10}, D43, E43, F43, G43, H43, I43, J43, K43, L43, 250), {1,2,3,4,5,6,7}))</f>
        <v>250</v>
      </c>
    </row>
    <row r="44" spans="2:17" ht="18.5" x14ac:dyDescent="0.45">
      <c r="B44" s="6">
        <f>ROW() - ROW($B$7) + 1</f>
        <v>38</v>
      </c>
      <c r="C44" s="6" t="s">
        <v>112</v>
      </c>
      <c r="D44" s="7">
        <f>IFERROR(VLOOKUP($C44,'Etapa 1 Rookie'!$E$3:$G$83,3,FALSE),0)</f>
        <v>0</v>
      </c>
      <c r="E44" s="7">
        <f>IFERROR(VLOOKUP($C44,'Etapa 2 Rookie'!$E$3:$G$83,3,FALSE),0)</f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 cm="1">
        <f t="array" ref="P44">SUM(LARGE(D44:O44,{1;2;3;4;5;6;7;8}))</f>
        <v>0</v>
      </c>
      <c r="Q44" s="6" cm="1">
        <f t="array" ref="Q44">SUM(LARGE(CHOOSE({1,2,3,4,5,6,7,8,9,10}, D44, E44, F44, G44, H44, I44, J44, K44, L44, 250), {1,2,3,4,5,6,7}))</f>
        <v>250</v>
      </c>
    </row>
    <row r="45" spans="2:17" ht="18.5" x14ac:dyDescent="0.45">
      <c r="B45" s="6">
        <f>ROW() - ROW($B$7) + 1</f>
        <v>39</v>
      </c>
      <c r="C45" s="6" t="s">
        <v>114</v>
      </c>
      <c r="D45" s="7">
        <f>IFERROR(VLOOKUP($C45,'Etapa 1 Rookie'!$E$3:$G$83,3,FALSE),0)</f>
        <v>0</v>
      </c>
      <c r="E45" s="7">
        <f>IFERROR(VLOOKUP($C45,'Etapa 2 Rookie'!$E$3:$G$83,3,FALSE),0)</f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 cm="1">
        <f t="array" ref="P45">SUM(LARGE(D45:O45,{1;2;3;4;5;6;7;8}))</f>
        <v>0</v>
      </c>
      <c r="Q45" s="6" cm="1">
        <f t="array" ref="Q45">SUM(LARGE(CHOOSE({1,2,3,4,5,6,7,8,9,10}, D45, E45, F45, G45, H45, I45, J45, K45, L45, 250), {1,2,3,4,5,6,7}))</f>
        <v>250</v>
      </c>
    </row>
    <row r="46" spans="2:17" ht="18.5" x14ac:dyDescent="0.45">
      <c r="B46" s="6">
        <f>ROW() - ROW($B$6) + 1</f>
        <v>41</v>
      </c>
      <c r="C46" s="6" t="s">
        <v>16</v>
      </c>
      <c r="D46" s="7">
        <f>IFERROR(VLOOKUP($C46,'Etapa 1 Rookie'!$E$3:$G$83,3,FALSE),0)</f>
        <v>0</v>
      </c>
      <c r="E46" s="7">
        <f>IFERROR(VLOOKUP($C46,'Etapa 2 Rookie'!$E$3:$G$83,3,FALSE),0)</f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 cm="1">
        <f t="array" ref="P46">SUM(LARGE(D46:O46,{1;2;3;4;5;6;7;8}))</f>
        <v>0</v>
      </c>
      <c r="Q46" s="6" cm="1">
        <f t="array" ref="Q46">SUM(LARGE(CHOOSE({1,2,3,4,5,6,7,8,9,10}, D46, E46, F46, G46, H46, I46, J46, K46, L46, 250), {1,2,3,4,5,6,7}))</f>
        <v>250</v>
      </c>
    </row>
    <row r="47" spans="2:17" ht="18.5" x14ac:dyDescent="0.45">
      <c r="B47" s="6">
        <f>ROW() - ROW($B$6) + 1</f>
        <v>42</v>
      </c>
      <c r="C47" s="6" t="s">
        <v>102</v>
      </c>
      <c r="D47" s="7">
        <f>IFERROR(VLOOKUP($C47,'Etapa 1 Rookie'!$E$3:$G$83,3,FALSE),0)</f>
        <v>0</v>
      </c>
      <c r="E47" s="7">
        <f>IFERROR(VLOOKUP($C47,'Etapa 2 Rookie'!$E$3:$G$83,3,FALSE),0)</f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 cm="1">
        <f t="array" ref="P47">SUM(LARGE(D47:O47,{1;2;3;4;5;6;7;8}))</f>
        <v>0</v>
      </c>
      <c r="Q47" s="6" cm="1">
        <f t="array" ref="Q47">SUM(LARGE(CHOOSE({1,2,3,4,5,6,7,8,9,10}, D47, E47, F47, G47, H47, I47, J47, K47, L47, 250), {1,2,3,4,5,6,7}))</f>
        <v>250</v>
      </c>
    </row>
    <row r="48" spans="2:17" ht="18.5" x14ac:dyDescent="0.45">
      <c r="B48" s="6">
        <f>ROW() - ROW($B$7) + 1</f>
        <v>42</v>
      </c>
      <c r="C48" s="6" t="s">
        <v>97</v>
      </c>
      <c r="D48" s="7">
        <f>IFERROR(VLOOKUP($C48,'Etapa 1 Rookie'!$E$3:$G$83,3,FALSE),0)</f>
        <v>0</v>
      </c>
      <c r="E48" s="7">
        <f>IFERROR(VLOOKUP($C48,'Etapa 2 Rookie'!$E$3:$G$83,3,FALSE),0)</f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 cm="1">
        <f t="array" ref="P48">SUM(LARGE(D48:O48,{1;2;3;4;5;6;7;8}))</f>
        <v>0</v>
      </c>
      <c r="Q48" s="6" cm="1">
        <f t="array" ref="Q48">SUM(LARGE(CHOOSE({1,2,3,4,5,6,7,8,9,10}, D48, E48, F48, G48, H48, I48, J48, K48, L48, 250), {1,2,3,4,5,6,7}))</f>
        <v>250</v>
      </c>
    </row>
    <row r="49" spans="2:17" ht="18.5" x14ac:dyDescent="0.45">
      <c r="B49" s="6">
        <f>ROW() - ROW($B$6) + 1</f>
        <v>44</v>
      </c>
      <c r="C49" s="6" t="s">
        <v>61</v>
      </c>
      <c r="D49" s="7">
        <f>IFERROR(VLOOKUP($C49,'Etapa 1 Rookie'!$E$3:$G$83,3,FALSE),0)</f>
        <v>0</v>
      </c>
      <c r="E49" s="7">
        <f>IFERROR(VLOOKUP($C49,'Etapa 2 Rookie'!$E$3:$G$83,3,FALSE),0)</f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 cm="1">
        <f t="array" ref="P49">SUM(LARGE(D49:O49,{1;2;3;4;5;6;7;8}))</f>
        <v>0</v>
      </c>
      <c r="Q49" s="6" cm="1">
        <f t="array" ref="Q49">SUM(LARGE(CHOOSE({1,2,3,4,5,6,7,8,9,10}, D49, E49, F49, G49, H49, I49, J49, K49, L49, 250), {1,2,3,4,5,6,7}))</f>
        <v>250</v>
      </c>
    </row>
    <row r="50" spans="2:17" ht="18.5" x14ac:dyDescent="0.45">
      <c r="B50" s="6">
        <f>ROW() - ROW($B$6) + 1</f>
        <v>45</v>
      </c>
      <c r="C50" s="6" t="s">
        <v>5</v>
      </c>
      <c r="D50" s="7">
        <f>IFERROR(VLOOKUP($C50,'Etapa 1 Rookie'!$E$3:$G$83,3,FALSE),0)</f>
        <v>0</v>
      </c>
      <c r="E50" s="7">
        <f>IFERROR(VLOOKUP($C50,'Etapa 2 Rookie'!$E$3:$G$83,3,FALSE),0)</f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 cm="1">
        <f t="array" ref="P50">SUM(LARGE(D50:O50,{1;2;3;4;5;6;7;8}))</f>
        <v>0</v>
      </c>
      <c r="Q50" s="6" cm="1">
        <f t="array" ref="Q50">SUM(LARGE(CHOOSE({1,2,3,4,5,6,7,8,9,10}, D50, E50, F50, G50, H50, I50, J50, K50, L50, 250), {1,2,3,4,5,6,7}))</f>
        <v>250</v>
      </c>
    </row>
    <row r="51" spans="2:17" ht="18.5" x14ac:dyDescent="0.45">
      <c r="B51" s="6">
        <f>ROW() - ROW($B$6) + 1</f>
        <v>46</v>
      </c>
      <c r="C51" s="6" t="s">
        <v>52</v>
      </c>
      <c r="D51" s="7">
        <f>IFERROR(VLOOKUP($C51,'Etapa 1 Rookie'!$E$3:$G$83,3,FALSE),0)</f>
        <v>0</v>
      </c>
      <c r="E51" s="7">
        <f>IFERROR(VLOOKUP($C51,'Etapa 2 Rookie'!$E$3:$G$83,3,FALSE),0)</f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 cm="1">
        <f t="array" ref="P51">SUM(LARGE(D51:O51,{1;2;3;4;5;6;7;8}))</f>
        <v>0</v>
      </c>
      <c r="Q51" s="6" cm="1">
        <f t="array" ref="Q51">SUM(LARGE(CHOOSE({1,2,3,4,5,6,7,8,9,10}, D51, E51, F51, G51, H51, I51, J51, K51, L51, 250), {1,2,3,4,5,6,7}))</f>
        <v>250</v>
      </c>
    </row>
    <row r="52" spans="2:17" ht="18.5" x14ac:dyDescent="0.45">
      <c r="B52" s="6">
        <f>ROW() - ROW($B$6) + 1</f>
        <v>47</v>
      </c>
      <c r="C52" s="6" t="s">
        <v>23</v>
      </c>
      <c r="D52" s="7">
        <f>IFERROR(VLOOKUP($C52,'Etapa 1 Rookie'!$E$3:$G$83,3,FALSE),0)</f>
        <v>0</v>
      </c>
      <c r="E52" s="7">
        <f>IFERROR(VLOOKUP($C52,'Etapa 2 Rookie'!$E$3:$G$83,3,FALSE),0)</f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 cm="1">
        <f t="array" ref="P52">SUM(LARGE(D52:O52,{1;2;3;4;5;6;7;8}))</f>
        <v>0</v>
      </c>
      <c r="Q52" s="6" cm="1">
        <f t="array" ref="Q52">SUM(LARGE(CHOOSE({1,2,3,4,5,6,7,8,9,10}, D52, E52, F52, G52, H52, I52, J52, K52, L52, 250), {1,2,3,4,5,6,7}))</f>
        <v>250</v>
      </c>
    </row>
  </sheetData>
  <mergeCells count="1">
    <mergeCell ref="B3:D4"/>
  </mergeCells>
  <phoneticPr fontId="7" type="noConversion"/>
  <conditionalFormatting sqref="D6:O52">
    <cfRule type="expression" dxfId="1" priority="1">
      <formula>D6&lt;=SMALL($D6:$M6,3)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5A3C-9EC5-46E7-8F5F-A2346A14B456}">
  <dimension ref="B4:N21"/>
  <sheetViews>
    <sheetView workbookViewId="0">
      <selection activeCell="H8" sqref="H8"/>
    </sheetView>
  </sheetViews>
  <sheetFormatPr baseColWidth="10" defaultRowHeight="14.5" x14ac:dyDescent="0.35"/>
  <cols>
    <col min="2" max="2" width="10" bestFit="1" customWidth="1"/>
    <col min="3" max="3" width="32.453125" bestFit="1" customWidth="1"/>
    <col min="4" max="8" width="9.6328125" bestFit="1" customWidth="1"/>
    <col min="9" max="9" width="13.1796875" customWidth="1"/>
    <col min="10" max="10" width="26.453125" bestFit="1" customWidth="1"/>
  </cols>
  <sheetData>
    <row r="4" spans="2:14" x14ac:dyDescent="0.35">
      <c r="B4" s="16" t="s">
        <v>95</v>
      </c>
      <c r="C4" s="16"/>
      <c r="D4" s="16"/>
    </row>
    <row r="5" spans="2:14" x14ac:dyDescent="0.35">
      <c r="B5" s="16"/>
      <c r="C5" s="16"/>
      <c r="D5" s="16"/>
    </row>
    <row r="6" spans="2:14" x14ac:dyDescent="0.35">
      <c r="B6" s="3" t="s">
        <v>48</v>
      </c>
      <c r="C6" t="s">
        <v>0</v>
      </c>
      <c r="D6" s="3" t="s">
        <v>49</v>
      </c>
      <c r="E6" s="3" t="s">
        <v>64</v>
      </c>
      <c r="F6" s="3" t="s">
        <v>65</v>
      </c>
      <c r="G6" s="3" t="s">
        <v>66</v>
      </c>
      <c r="H6" s="3" t="s">
        <v>67</v>
      </c>
      <c r="I6" s="3" t="s">
        <v>73</v>
      </c>
      <c r="J6" s="3" t="s">
        <v>118</v>
      </c>
    </row>
    <row r="7" spans="2:14" ht="18.5" x14ac:dyDescent="0.45">
      <c r="B7" s="6">
        <f t="shared" ref="B7:B21" si="0">ROW() - ROW($B$7) + 1</f>
        <v>1</v>
      </c>
      <c r="C7" s="6" t="s">
        <v>90</v>
      </c>
      <c r="D7" s="7">
        <f>IFERROR(VLOOKUP($C7,'Etapa 1 Plata'!$E$3:$G$102,3,FALSE),0)</f>
        <v>250</v>
      </c>
      <c r="E7" s="7">
        <f>IFERROR(VLOOKUP($C7,'Etapa 2 Plata'!$E$3:$G$102,3,FALSE),0)</f>
        <v>180</v>
      </c>
      <c r="F7" s="7">
        <f>IFERROR(VLOOKUP($C7,'Etapa 3 Plata'!$E$3:$G$102,3,FALSE),0)</f>
        <v>230</v>
      </c>
      <c r="G7" s="7">
        <f>IFERROR(VLOOKUP($C7,'Etapa 4 Plata'!$E$3:$G$100,3,FALSE),0)</f>
        <v>475</v>
      </c>
      <c r="H7" s="7">
        <f>IFERROR(VLOOKUP($C7,'Etapa 5 Plata'!$E$3:$G$100,3,FALSE),0)</f>
        <v>200</v>
      </c>
      <c r="I7" s="6" cm="1">
        <f t="array" ref="I7">SUM(LARGE(D7:H7,{1;2;3}))</f>
        <v>955</v>
      </c>
      <c r="J7" s="13" cm="1">
        <f t="array" ref="J7">SUM(LARGE(CHOOSE({1,2,3,4,5},Tabla156[[#This Row],[Etapa 1]],Tabla156[[#This Row],[Etapa 2]],Tabla156[[#This Row],[Etapa 3]],Tabla156[[#This Row],[Etapa 4]],IF(Tabla156[[#This Row],[Etapa 5]]=0,250,Tabla156[[#This Row],[Etapa 5]])),{1,2,3}))</f>
        <v>955</v>
      </c>
    </row>
    <row r="8" spans="2:14" ht="18.5" x14ac:dyDescent="0.45">
      <c r="B8" s="6">
        <f t="shared" si="0"/>
        <v>2</v>
      </c>
      <c r="C8" s="6" t="s">
        <v>82</v>
      </c>
      <c r="D8" s="7">
        <f>IFERROR(VLOOKUP($C8,'Etapa 1 Plata'!$E$3:$G$102,3,FALSE),0)</f>
        <v>215</v>
      </c>
      <c r="E8" s="7">
        <f>IFERROR(VLOOKUP($C8,'Etapa 2 Plata'!$E$3:$G$102,3,FALSE),0)</f>
        <v>215</v>
      </c>
      <c r="F8" s="7">
        <f>IFERROR(VLOOKUP($C8,'Etapa 3 Plata'!$E$3:$G$102,3,FALSE),0)</f>
        <v>0</v>
      </c>
      <c r="G8" s="7">
        <f>IFERROR(VLOOKUP($C8,'Etapa 4 Plata'!$E$3:$G$100,3,FALSE),0)</f>
        <v>500</v>
      </c>
      <c r="H8" s="7">
        <f>IFERROR(VLOOKUP($C8,'Etapa 5 Plata'!$E$3:$G$100,3,FALSE),0)</f>
        <v>230</v>
      </c>
      <c r="I8" s="6" cm="1">
        <f t="array" ref="I8">SUM(LARGE(D8:H8,{1;2;3}))</f>
        <v>945</v>
      </c>
      <c r="J8" s="13" cm="1">
        <f t="array" ref="J8">SUM(LARGE(CHOOSE({1,2,3,4,5},Tabla156[[#This Row],[Etapa 1]],Tabla156[[#This Row],[Etapa 2]],Tabla156[[#This Row],[Etapa 3]],Tabla156[[#This Row],[Etapa 4]],IF(Tabla156[[#This Row],[Etapa 5]]=0,250,Tabla156[[#This Row],[Etapa 5]])),{1,2,3}))</f>
        <v>945</v>
      </c>
      <c r="M8" s="11" t="s">
        <v>119</v>
      </c>
      <c r="N8" s="11" t="s">
        <v>131</v>
      </c>
    </row>
    <row r="9" spans="2:14" ht="18.5" x14ac:dyDescent="0.45">
      <c r="B9" s="6">
        <f t="shared" si="0"/>
        <v>3</v>
      </c>
      <c r="C9" s="6" t="s">
        <v>94</v>
      </c>
      <c r="D9" s="7">
        <f>IFERROR(VLOOKUP($C9,'Etapa 1 Plata'!$E$3:$G$102,3,FALSE),0)</f>
        <v>180</v>
      </c>
      <c r="E9" s="7">
        <f>IFERROR(VLOOKUP($C9,'Etapa 2 Plata'!$E$3:$G$102,3,FALSE),0)</f>
        <v>170</v>
      </c>
      <c r="F9" s="7">
        <f>IFERROR(VLOOKUP($C9,'Etapa 3 Plata'!$E$3:$G$102,3,FALSE),0)</f>
        <v>215</v>
      </c>
      <c r="G9" s="7">
        <f>IFERROR(VLOOKUP($C9,'Etapa 4 Plata'!$E$3:$G$100,3,FALSE),0)</f>
        <v>450</v>
      </c>
      <c r="H9" s="7">
        <f>IFERROR(VLOOKUP($C9,'Etapa 5 Plata'!$E$3:$G$100,3,FALSE),0)</f>
        <v>250</v>
      </c>
      <c r="I9" s="6" cm="1">
        <f t="array" ref="I9">SUM(LARGE(D9:H9,{1;2;3}))</f>
        <v>915</v>
      </c>
      <c r="J9" s="14" cm="1">
        <f t="array" ref="J9">SUM(LARGE(CHOOSE({1,2,3,4,5},Tabla156[[#This Row],[Etapa 1]],Tabla156[[#This Row],[Etapa 2]],Tabla156[[#This Row],[Etapa 3]],Tabla156[[#This Row],[Etapa 4]],IF(Tabla156[[#This Row],[Etapa 5]]=0,250,Tabla156[[#This Row],[Etapa 5]])),{1,2,3}))</f>
        <v>915</v>
      </c>
      <c r="M9" s="11" t="s">
        <v>121</v>
      </c>
      <c r="N9" s="11" t="s">
        <v>132</v>
      </c>
    </row>
    <row r="10" spans="2:14" ht="18.5" x14ac:dyDescent="0.45">
      <c r="B10" s="6">
        <f t="shared" si="0"/>
        <v>4</v>
      </c>
      <c r="C10" s="6" t="s">
        <v>88</v>
      </c>
      <c r="D10" s="7">
        <f>IFERROR(VLOOKUP($C10,'Etapa 1 Plata'!$E$3:$G$102,3,FALSE),0)</f>
        <v>190</v>
      </c>
      <c r="E10" s="7">
        <f>IFERROR(VLOOKUP($C10,'Etapa 2 Plata'!$E$3:$G$102,3,FALSE),0)</f>
        <v>230</v>
      </c>
      <c r="F10" s="7">
        <f>IFERROR(VLOOKUP($C10,'Etapa 3 Plata'!$E$3:$G$102,3,FALSE),0)</f>
        <v>190</v>
      </c>
      <c r="G10" s="7">
        <f>IFERROR(VLOOKUP($C10,'Etapa 4 Plata'!$E$3:$G$100,3,FALSE),0)</f>
        <v>425</v>
      </c>
      <c r="H10" s="7">
        <f>IFERROR(VLOOKUP($C10,'Etapa 5 Plata'!$E$3:$G$100,3,FALSE),0)</f>
        <v>170</v>
      </c>
      <c r="I10" s="6" cm="1">
        <f t="array" ref="I10">SUM(LARGE(D10:H10,{1;2;3}))</f>
        <v>845</v>
      </c>
      <c r="J10" s="14" cm="1">
        <f t="array" ref="J10">SUM(LARGE(CHOOSE({1,2,3,4,5},Tabla156[[#This Row],[Etapa 1]],Tabla156[[#This Row],[Etapa 2]],Tabla156[[#This Row],[Etapa 3]],Tabla156[[#This Row],[Etapa 4]],IF(Tabla156[[#This Row],[Etapa 5]]=0,250,Tabla156[[#This Row],[Etapa 5]])),{1,2,3}))</f>
        <v>845</v>
      </c>
      <c r="M10" s="11" t="s">
        <v>129</v>
      </c>
      <c r="N10" s="11" t="s">
        <v>130</v>
      </c>
    </row>
    <row r="11" spans="2:14" ht="18.5" x14ac:dyDescent="0.45">
      <c r="B11" s="6">
        <f t="shared" si="0"/>
        <v>5</v>
      </c>
      <c r="C11" s="6" t="s">
        <v>86</v>
      </c>
      <c r="D11" s="7">
        <f>IFERROR(VLOOKUP($C11,'Etapa 1 Plata'!$E$3:$G$102,3,FALSE),0)</f>
        <v>230</v>
      </c>
      <c r="E11" s="7">
        <f>IFERROR(VLOOKUP($C11,'Etapa 2 Plata'!$E$3:$G$102,3,FALSE),0)</f>
        <v>140</v>
      </c>
      <c r="F11" s="7">
        <f>IFERROR(VLOOKUP($C11,'Etapa 3 Plata'!$E$3:$G$102,3,FALSE),0)</f>
        <v>180</v>
      </c>
      <c r="G11" s="7">
        <f>IFERROR(VLOOKUP($C11,'Etapa 4 Plata'!$E$3:$G$100,3,FALSE),0)</f>
        <v>400</v>
      </c>
      <c r="H11" s="7">
        <f>IFERROR(VLOOKUP($C11,'Etapa 5 Plata'!$E$3:$G$100,3,FALSE),0)</f>
        <v>180</v>
      </c>
      <c r="I11" s="6" cm="1">
        <f t="array" ref="I11">SUM(LARGE(D11:H11,{1;2;3}))</f>
        <v>810</v>
      </c>
      <c r="J11" s="14" cm="1">
        <f t="array" ref="J11">SUM(LARGE(CHOOSE({1,2,3,4,5},Tabla156[[#This Row],[Etapa 1]],Tabla156[[#This Row],[Etapa 2]],Tabla156[[#This Row],[Etapa 3]],Tabla156[[#This Row],[Etapa 4]],IF(Tabla156[[#This Row],[Etapa 5]]=0,250,Tabla156[[#This Row],[Etapa 5]])),{1,2,3}))</f>
        <v>810</v>
      </c>
      <c r="N11" t="s">
        <v>125</v>
      </c>
    </row>
    <row r="12" spans="2:14" ht="18.5" x14ac:dyDescent="0.45">
      <c r="B12" s="6">
        <f t="shared" si="0"/>
        <v>6</v>
      </c>
      <c r="C12" s="6" t="s">
        <v>22</v>
      </c>
      <c r="D12" s="7">
        <f>IFERROR(VLOOKUP($C12,'Etapa 1 Plata'!$E$3:$G$102,3,FALSE),0)</f>
        <v>170</v>
      </c>
      <c r="E12" s="7">
        <f>IFERROR(VLOOKUP($C12,'Etapa 2 Plata'!$E$3:$G$102,3,FALSE),0)</f>
        <v>150</v>
      </c>
      <c r="F12" s="7">
        <f>IFERROR(VLOOKUP($C12,'Etapa 3 Plata'!$E$3:$G$102,3,FALSE),0)</f>
        <v>160</v>
      </c>
      <c r="G12" s="7">
        <f>IFERROR(VLOOKUP($C12,'Etapa 4 Plata'!$E$3:$G$100,3,FALSE),0)</f>
        <v>375</v>
      </c>
      <c r="H12" s="7">
        <f>IFERROR(VLOOKUP($C12,'Etapa 5 Plata'!$E$3:$G$100,3,FALSE),0)</f>
        <v>190</v>
      </c>
      <c r="I12" s="6" cm="1">
        <f t="array" ref="I12">SUM(LARGE(D12:H12,{1;2;3}))</f>
        <v>735</v>
      </c>
      <c r="J12" s="6" cm="1">
        <f t="array" ref="J12">SUM(LARGE(CHOOSE({1,2,3,4,5},Tabla156[[#This Row],[Etapa 1]],Tabla156[[#This Row],[Etapa 2]],Tabla156[[#This Row],[Etapa 3]],Tabla156[[#This Row],[Etapa 4]],IF(Tabla156[[#This Row],[Etapa 5]]=0,250,Tabla156[[#This Row],[Etapa 5]])),{1,2,3}))</f>
        <v>735</v>
      </c>
      <c r="N12" t="s">
        <v>126</v>
      </c>
    </row>
    <row r="13" spans="2:14" ht="18.5" x14ac:dyDescent="0.45">
      <c r="B13" s="6">
        <f t="shared" si="0"/>
        <v>7</v>
      </c>
      <c r="C13" s="6" t="s">
        <v>104</v>
      </c>
      <c r="D13" s="7">
        <f>IFERROR(VLOOKUP($C13,'Etapa 1 Plata'!$E$3:$G$102,3,FALSE),0)</f>
        <v>0</v>
      </c>
      <c r="E13" s="7">
        <f>IFERROR(VLOOKUP($C13,'Etapa 2 Plata'!$E$3:$G$102,3,FALSE),0)</f>
        <v>250</v>
      </c>
      <c r="F13" s="7">
        <f>IFERROR(VLOOKUP($C13,'Etapa 3 Plata'!$E$3:$G$102,3,FALSE),0)</f>
        <v>250</v>
      </c>
      <c r="G13" s="7">
        <f>IFERROR(VLOOKUP($C13,'Etapa 4 Plata'!$E$3:$G$100,3,FALSE),0)</f>
        <v>0</v>
      </c>
      <c r="H13" s="7">
        <f>IFERROR(VLOOKUP($C13,'Etapa 5 Plata'!$E$3:$G$100,3,FALSE),0)</f>
        <v>0</v>
      </c>
      <c r="I13" s="6" cm="1">
        <f t="array" ref="I13">SUM(LARGE(D13:H13,{1;2;3}))</f>
        <v>500</v>
      </c>
      <c r="J13" s="6" cm="1">
        <f t="array" ref="J13">SUM(LARGE(CHOOSE({1,2,3,4,5},Tabla156[[#This Row],[Etapa 1]],Tabla156[[#This Row],[Etapa 2]],Tabla156[[#This Row],[Etapa 3]],Tabla156[[#This Row],[Etapa 4]],IF(Tabla156[[#This Row],[Etapa 5]]=0,250,Tabla156[[#This Row],[Etapa 5]])),{1,2,3}))</f>
        <v>750</v>
      </c>
      <c r="N13" s="11" t="s">
        <v>127</v>
      </c>
    </row>
    <row r="14" spans="2:14" ht="18.5" x14ac:dyDescent="0.45">
      <c r="B14" s="6">
        <f t="shared" si="0"/>
        <v>8</v>
      </c>
      <c r="C14" s="6" t="s">
        <v>100</v>
      </c>
      <c r="D14" s="7">
        <f>IFERROR(VLOOKUP($C14,'Etapa 1 Plata'!$E$3:$G$102,3,FALSE),0)</f>
        <v>0</v>
      </c>
      <c r="E14" s="7">
        <f>IFERROR(VLOOKUP($C14,'Etapa 2 Plata'!$E$3:$G$102,3,FALSE),0)</f>
        <v>130</v>
      </c>
      <c r="F14" s="7">
        <f>IFERROR(VLOOKUP($C14,'Etapa 3 Plata'!$E$3:$G$102,3,FALSE),0)</f>
        <v>170</v>
      </c>
      <c r="G14" s="7">
        <f>IFERROR(VLOOKUP($C14,'Etapa 4 Plata'!$E$3:$G$100,3,FALSE),0)</f>
        <v>0</v>
      </c>
      <c r="H14" s="7">
        <f>IFERROR(VLOOKUP($C14,'Etapa 5 Plata'!$E$3:$G$100,3,FALSE),0)</f>
        <v>150</v>
      </c>
      <c r="I14" s="6" cm="1">
        <f t="array" ref="I14">SUM(LARGE(D14:H14,{1;2;3}))</f>
        <v>450</v>
      </c>
      <c r="J14" s="6" cm="1">
        <f t="array" ref="J14">SUM(LARGE(CHOOSE({1,2,3,4,5},Tabla156[[#This Row],[Etapa 1]],Tabla156[[#This Row],[Etapa 2]],Tabla156[[#This Row],[Etapa 3]],Tabla156[[#This Row],[Etapa 4]],IF(Tabla156[[#This Row],[Etapa 5]]=0,250,Tabla156[[#This Row],[Etapa 5]])),{1,2,3}))</f>
        <v>450</v>
      </c>
      <c r="N14" s="11" t="s">
        <v>128</v>
      </c>
    </row>
    <row r="15" spans="2:14" ht="18.5" x14ac:dyDescent="0.45">
      <c r="B15" s="6">
        <f t="shared" si="0"/>
        <v>9</v>
      </c>
      <c r="C15" s="6" t="s">
        <v>35</v>
      </c>
      <c r="D15" s="7">
        <f>IFERROR(VLOOKUP($C15,'Etapa 1 Plata'!$E$3:$G$102,3,FALSE),0)</f>
        <v>200</v>
      </c>
      <c r="E15" s="7">
        <f>IFERROR(VLOOKUP($C15,'Etapa 2 Plata'!$E$3:$G$102,3,FALSE),0)</f>
        <v>160</v>
      </c>
      <c r="F15" s="7">
        <f>IFERROR(VLOOKUP($C15,'Etapa 3 Plata'!$E$3:$G$102,3,FALSE),0)</f>
        <v>0</v>
      </c>
      <c r="G15" s="7">
        <f>IFERROR(VLOOKUP($C15,'Etapa 4 Plata'!$E$3:$G$100,3,FALSE),0)</f>
        <v>0</v>
      </c>
      <c r="H15" s="7">
        <f>IFERROR(VLOOKUP($C15,'Etapa 5 Plata'!$E$3:$G$100,3,FALSE),0)</f>
        <v>0</v>
      </c>
      <c r="I15" s="6" cm="1">
        <f t="array" ref="I15">SUM(LARGE(D15:H15,{1;2;3}))</f>
        <v>360</v>
      </c>
      <c r="J15" s="6" cm="1">
        <f t="array" ref="J15">SUM(LARGE(CHOOSE({1,2,3,4,5},Tabla156[[#This Row],[Etapa 1]],Tabla156[[#This Row],[Etapa 2]],Tabla156[[#This Row],[Etapa 3]],Tabla156[[#This Row],[Etapa 4]],IF(Tabla156[[#This Row],[Etapa 5]]=0,250,Tabla156[[#This Row],[Etapa 5]])),{1,2,3}))</f>
        <v>610</v>
      </c>
    </row>
    <row r="16" spans="2:14" ht="18.5" x14ac:dyDescent="0.45">
      <c r="B16" s="6">
        <f t="shared" si="0"/>
        <v>10</v>
      </c>
      <c r="C16" s="6" t="s">
        <v>33</v>
      </c>
      <c r="D16" s="7">
        <f>IFERROR(VLOOKUP($C16,'Etapa 1 Plata'!$E$3:$G$102,3,FALSE),0)</f>
        <v>0</v>
      </c>
      <c r="E16" s="7">
        <f>IFERROR(VLOOKUP($C16,'Etapa 2 Plata'!$E$3:$G$102,3,FALSE),0)</f>
        <v>115</v>
      </c>
      <c r="F16" s="7">
        <f>IFERROR(VLOOKUP($C16,'Etapa 3 Plata'!$E$3:$G$102,3,FALSE),0)</f>
        <v>150</v>
      </c>
      <c r="G16" s="7">
        <f>IFERROR(VLOOKUP($C16,'Etapa 4 Plata'!$E$3:$G$100,3,FALSE),0)</f>
        <v>0</v>
      </c>
      <c r="H16" s="7">
        <f>IFERROR(VLOOKUP($C16,'Etapa 5 Plata'!$E$3:$G$100,3,FALSE),0)</f>
        <v>0</v>
      </c>
      <c r="I16" s="6" cm="1">
        <f t="array" ref="I16">SUM(LARGE(D16:H16,{1;2;3}))</f>
        <v>265</v>
      </c>
      <c r="J16" s="6" cm="1">
        <f t="array" ref="J16">SUM(LARGE(CHOOSE({1,2,3,4,5},Tabla156[[#This Row],[Etapa 1]],Tabla156[[#This Row],[Etapa 2]],Tabla156[[#This Row],[Etapa 3]],Tabla156[[#This Row],[Etapa 4]],IF(Tabla156[[#This Row],[Etapa 5]]=0,250,Tabla156[[#This Row],[Etapa 5]])),{1,2,3}))</f>
        <v>515</v>
      </c>
    </row>
    <row r="17" spans="2:10" ht="18.5" x14ac:dyDescent="0.45">
      <c r="B17" s="6">
        <f t="shared" si="0"/>
        <v>11</v>
      </c>
      <c r="C17" s="6" t="s">
        <v>79</v>
      </c>
      <c r="D17" s="12">
        <f>IFERROR(VLOOKUP($C17,'Etapa 1 Plata'!$E$3:$G$102,3,FALSE),0)</f>
        <v>160</v>
      </c>
      <c r="E17" s="12">
        <f>IFERROR(VLOOKUP($C17,'Etapa 2 Plata'!$E$3:$G$102,3,FALSE),0)</f>
        <v>100</v>
      </c>
      <c r="F17" s="12">
        <f>IFERROR(VLOOKUP($C17,'Etapa 3 Plata'!$E$3:$G$102,3,FALSE),0)</f>
        <v>0</v>
      </c>
      <c r="G17" s="12">
        <f>IFERROR(VLOOKUP($C17,'Etapa 4 Plata'!$E$3:$G$100,3,FALSE),0)</f>
        <v>0</v>
      </c>
      <c r="H17" s="7">
        <f>IFERROR(VLOOKUP($C17,'Etapa 5 Plata'!$E$3:$G$100,3,FALSE),0)</f>
        <v>0</v>
      </c>
      <c r="I17" s="6" cm="1">
        <f t="array" ref="I17">SUM(LARGE(D17:H17,{1;2;3}))</f>
        <v>260</v>
      </c>
      <c r="J17" s="6" cm="1">
        <f t="array" ref="J17">SUM(LARGE(CHOOSE({1,2,3,4,5},Tabla156[[#This Row],[Etapa 1]],Tabla156[[#This Row],[Etapa 2]],Tabla156[[#This Row],[Etapa 3]],Tabla156[[#This Row],[Etapa 4]],IF(Tabla156[[#This Row],[Etapa 5]]=0,250,Tabla156[[#This Row],[Etapa 5]])),{1,2,3}))</f>
        <v>510</v>
      </c>
    </row>
    <row r="18" spans="2:10" ht="18.5" x14ac:dyDescent="0.45">
      <c r="B18" s="6">
        <f t="shared" si="0"/>
        <v>12</v>
      </c>
      <c r="C18" s="6" t="s">
        <v>106</v>
      </c>
      <c r="D18" s="7">
        <f>IFERROR(VLOOKUP($C18,'Etapa 1 Plata'!$E$3:$G$102,3,FALSE),0)</f>
        <v>0</v>
      </c>
      <c r="E18" s="7">
        <f>IFERROR(VLOOKUP($C18,'Etapa 2 Plata'!$E$3:$G$102,3,FALSE),0)</f>
        <v>115</v>
      </c>
      <c r="F18" s="7">
        <f>IFERROR(VLOOKUP($C18,'Etapa 3 Plata'!$E$3:$G$102,3,FALSE),0)</f>
        <v>140</v>
      </c>
      <c r="G18" s="7">
        <f>IFERROR(VLOOKUP($C18,'Etapa 4 Plata'!$E$3:$G$100,3,FALSE),0)</f>
        <v>0</v>
      </c>
      <c r="H18" s="7">
        <f>IFERROR(VLOOKUP($C18,'Etapa 5 Plata'!$E$3:$G$100,3,FALSE),0)</f>
        <v>0</v>
      </c>
      <c r="I18" s="6" cm="1">
        <f t="array" ref="I18">SUM(LARGE(D18:H18,{1;2;3}))</f>
        <v>255</v>
      </c>
      <c r="J18" s="6" cm="1">
        <f t="array" ref="J18">SUM(LARGE(CHOOSE({1,2,3,4,5},Tabla156[[#This Row],[Etapa 1]],Tabla156[[#This Row],[Etapa 2]],Tabla156[[#This Row],[Etapa 3]],Tabla156[[#This Row],[Etapa 4]],IF(Tabla156[[#This Row],[Etapa 5]]=0,250,Tabla156[[#This Row],[Etapa 5]])),{1,2,3}))</f>
        <v>505</v>
      </c>
    </row>
    <row r="19" spans="2:10" ht="18.5" x14ac:dyDescent="0.45">
      <c r="B19" s="6">
        <f t="shared" si="0"/>
        <v>13</v>
      </c>
      <c r="C19" s="6" t="s">
        <v>102</v>
      </c>
      <c r="D19" s="12">
        <f>IFERROR(VLOOKUP($C19,'Etapa 1 Plata'!$E$3:$G$102,3,FALSE),0)</f>
        <v>0</v>
      </c>
      <c r="E19" s="12">
        <f>IFERROR(VLOOKUP($C19,'Etapa 2 Plata'!$E$3:$G$102,3,FALSE),0)</f>
        <v>95</v>
      </c>
      <c r="F19" s="12">
        <f>IFERROR(VLOOKUP($C19,'Etapa 3 Plata'!$E$3:$G$102,3,FALSE),0)</f>
        <v>0</v>
      </c>
      <c r="G19" s="12">
        <f>IFERROR(VLOOKUP($C19,'Etapa 4 Plata'!$E$3:$G$100,3,FALSE),0)</f>
        <v>0</v>
      </c>
      <c r="H19" s="7">
        <f>IFERROR(VLOOKUP($C19,'Etapa 5 Plata'!$E$3:$G$100,3,FALSE),0)</f>
        <v>160</v>
      </c>
      <c r="I19" s="6" cm="1">
        <f t="array" ref="I19">SUM(LARGE(D19:H19,{1;2;3}))</f>
        <v>255</v>
      </c>
      <c r="J19" s="6" cm="1">
        <f t="array" ref="J19">SUM(LARGE(CHOOSE({1,2,3,4,5},Tabla156[[#This Row],[Etapa 1]],Tabla156[[#This Row],[Etapa 2]],Tabla156[[#This Row],[Etapa 3]],Tabla156[[#This Row],[Etapa 4]],IF(Tabla156[[#This Row],[Etapa 5]]=0,250,Tabla156[[#This Row],[Etapa 5]])),{1,2,3}))</f>
        <v>255</v>
      </c>
    </row>
    <row r="20" spans="2:10" ht="18.5" x14ac:dyDescent="0.45">
      <c r="B20" s="6">
        <f t="shared" si="0"/>
        <v>14</v>
      </c>
      <c r="C20" s="6" t="s">
        <v>97</v>
      </c>
      <c r="D20" s="7">
        <f>IFERROR(VLOOKUP($C20,'Etapa 1 Plata'!$E$3:$G$102,3,FALSE),0)</f>
        <v>0</v>
      </c>
      <c r="E20" s="7">
        <f>IFERROR(VLOOKUP($C20,'Etapa 2 Plata'!$E$3:$G$102,3,FALSE),0)</f>
        <v>195</v>
      </c>
      <c r="F20" s="7">
        <f>IFERROR(VLOOKUP($C20,'Etapa 3 Plata'!$E$3:$G$102,3,FALSE),0)</f>
        <v>0</v>
      </c>
      <c r="G20" s="7">
        <f>IFERROR(VLOOKUP($C20,'Etapa 4 Plata'!$E$3:$G$100,3,FALSE),0)</f>
        <v>0</v>
      </c>
      <c r="H20" s="7">
        <f>IFERROR(VLOOKUP($C20,'Etapa 5 Plata'!$E$3:$G$100,3,FALSE),0)</f>
        <v>0</v>
      </c>
      <c r="I20" s="6" cm="1">
        <f t="array" ref="I20">SUM(LARGE(D20:H20,{1;2;3}))</f>
        <v>195</v>
      </c>
      <c r="J20" s="6" cm="1">
        <f t="array" ref="J20">SUM(LARGE(CHOOSE({1,2,3,4,5},Tabla156[[#This Row],[Etapa 1]],Tabla156[[#This Row],[Etapa 2]],Tabla156[[#This Row],[Etapa 3]],Tabla156[[#This Row],[Etapa 4]],IF(Tabla156[[#This Row],[Etapa 5]]=0,250,Tabla156[[#This Row],[Etapa 5]])),{1,2,3}))</f>
        <v>445</v>
      </c>
    </row>
    <row r="21" spans="2:10" ht="18.5" x14ac:dyDescent="0.45">
      <c r="B21" s="6">
        <f t="shared" si="0"/>
        <v>15</v>
      </c>
      <c r="C21" s="6" t="s">
        <v>7</v>
      </c>
      <c r="D21" s="7">
        <f>IFERROR(VLOOKUP($C21,'Etapa 1 Plata'!$E$3:$G$102,3,FALSE),0)</f>
        <v>0</v>
      </c>
      <c r="E21" s="7">
        <f>IFERROR(VLOOKUP($C21,'Etapa 2 Plata'!$E$3:$G$102,3,FALSE),0)</f>
        <v>195</v>
      </c>
      <c r="F21" s="7">
        <f>IFERROR(VLOOKUP($C21,'Etapa 3 Plata'!$E$3:$G$102,3,FALSE),0)</f>
        <v>0</v>
      </c>
      <c r="G21" s="7">
        <f>IFERROR(VLOOKUP($C21,'Etapa 4 Plata'!$E$3:$G$100,3,FALSE),0)</f>
        <v>0</v>
      </c>
      <c r="H21" s="7">
        <f>IFERROR(VLOOKUP($C21,'Etapa 5 Plata'!$E$3:$G$100,3,FALSE),0)</f>
        <v>0</v>
      </c>
      <c r="I21" s="6" cm="1">
        <f t="array" ref="I21">SUM(LARGE(D21:H21,{1;2;3}))</f>
        <v>195</v>
      </c>
      <c r="J21" s="6" cm="1">
        <f t="array" ref="J21">SUM(LARGE(CHOOSE({1,2,3,4,5},Tabla156[[#This Row],[Etapa 1]],Tabla156[[#This Row],[Etapa 2]],Tabla156[[#This Row],[Etapa 3]],Tabla156[[#This Row],[Etapa 4]],IF(Tabla156[[#This Row],[Etapa 5]]=0,250,Tabla156[[#This Row],[Etapa 5]])),{1,2,3}))</f>
        <v>445</v>
      </c>
    </row>
  </sheetData>
  <mergeCells count="1">
    <mergeCell ref="B4:D5"/>
  </mergeCells>
  <conditionalFormatting sqref="D7:H21">
    <cfRule type="expression" dxfId="0" priority="2">
      <formula>D7&lt;=SMALL($D7:$L7,2)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G22"/>
  <sheetViews>
    <sheetView workbookViewId="0">
      <selection activeCell="C6" sqref="C6"/>
    </sheetView>
  </sheetViews>
  <sheetFormatPr baseColWidth="10" defaultColWidth="8.7265625" defaultRowHeight="14.5" x14ac:dyDescent="0.35"/>
  <cols>
    <col min="2" max="2" width="9.6328125" customWidth="1"/>
    <col min="3" max="3" width="24" bestFit="1" customWidth="1"/>
    <col min="4" max="4" width="21" bestFit="1" customWidth="1"/>
    <col min="5" max="5" width="32.81640625" bestFit="1" customWidth="1"/>
    <col min="6" max="6" width="7.363281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 t="shared" ref="B3:B22" si="0">COUNTIFS($F$3:$F$967,"&lt;"&amp;$F3)+1</f>
        <v>1</v>
      </c>
      <c r="C3" t="s">
        <v>30</v>
      </c>
      <c r="D3" t="s">
        <v>4</v>
      </c>
      <c r="E3" t="s">
        <v>31</v>
      </c>
      <c r="F3">
        <v>-3</v>
      </c>
      <c r="G3">
        <f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2</v>
      </c>
      <c r="C4" t="s">
        <v>62</v>
      </c>
      <c r="D4" t="s">
        <v>4</v>
      </c>
      <c r="E4" s="3" t="s">
        <v>63</v>
      </c>
      <c r="F4">
        <v>-2</v>
      </c>
      <c r="G4">
        <f>_xlfn.LET(
    _xlpm.pos, B4,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 t="shared" si="0"/>
        <v>3</v>
      </c>
      <c r="C5" t="s">
        <v>74</v>
      </c>
      <c r="D5" t="s">
        <v>4</v>
      </c>
      <c r="E5" s="3" t="s">
        <v>140</v>
      </c>
      <c r="F5">
        <v>2</v>
      </c>
      <c r="G5">
        <f>_xlfn.LET(
    _xlpm.pos, B5,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v>5</v>
      </c>
      <c r="C6" t="s">
        <v>56</v>
      </c>
      <c r="D6" t="s">
        <v>18</v>
      </c>
      <c r="E6" t="s">
        <v>57</v>
      </c>
      <c r="F6">
        <v>2</v>
      </c>
      <c r="G6">
        <f>_xlfn.LET(
    _xlpm.pos, B6,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7" spans="2:7" x14ac:dyDescent="0.35">
      <c r="B7">
        <v>4</v>
      </c>
      <c r="C7" t="s">
        <v>89</v>
      </c>
      <c r="D7" t="s">
        <v>4</v>
      </c>
      <c r="E7" t="s">
        <v>90</v>
      </c>
      <c r="F7">
        <v>2</v>
      </c>
      <c r="G7">
        <f>_xlfn.LET(
    _xlpm.pos, B7,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8" spans="2:7" x14ac:dyDescent="0.35">
      <c r="B8">
        <f t="shared" si="0"/>
        <v>6</v>
      </c>
      <c r="C8" t="s">
        <v>26</v>
      </c>
      <c r="D8" t="s">
        <v>4</v>
      </c>
      <c r="E8" t="s">
        <v>27</v>
      </c>
      <c r="F8">
        <v>3</v>
      </c>
      <c r="G8">
        <f>_xlfn.LET(
    _xlpm.pos, B8,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9" spans="2:7" x14ac:dyDescent="0.35">
      <c r="B9">
        <f t="shared" si="0"/>
        <v>7</v>
      </c>
      <c r="C9" t="s">
        <v>8</v>
      </c>
      <c r="D9" t="s">
        <v>4</v>
      </c>
      <c r="E9" t="s">
        <v>9</v>
      </c>
      <c r="F9">
        <v>5</v>
      </c>
      <c r="G9">
        <f>_xlfn.LET(
    _xlpm.pos, B9,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8</v>
      </c>
      <c r="C10" t="s">
        <v>59</v>
      </c>
      <c r="D10" t="s">
        <v>4</v>
      </c>
      <c r="E10" t="s">
        <v>60</v>
      </c>
      <c r="F10">
        <v>7</v>
      </c>
      <c r="G10">
        <f>_xlfn.LET(
    _xlpm.pos, B10,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ht="18.5" x14ac:dyDescent="0.45">
      <c r="B11">
        <f t="shared" si="0"/>
        <v>9</v>
      </c>
      <c r="C11" s="6" t="s">
        <v>76</v>
      </c>
      <c r="D11" t="s">
        <v>4</v>
      </c>
      <c r="E11" s="6" t="s">
        <v>76</v>
      </c>
      <c r="F11">
        <v>8</v>
      </c>
      <c r="G11">
        <f>_xlfn.LET(
    _xlpm.pos, B11,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2" spans="2:7" x14ac:dyDescent="0.35">
      <c r="B12">
        <f t="shared" si="0"/>
        <v>9</v>
      </c>
      <c r="C12" t="s">
        <v>36</v>
      </c>
      <c r="D12" t="s">
        <v>4</v>
      </c>
      <c r="E12" t="s">
        <v>37</v>
      </c>
      <c r="F12">
        <v>8</v>
      </c>
      <c r="G12">
        <f>_xlfn.LET(
    _xlpm.pos, B12,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3" spans="2:7" x14ac:dyDescent="0.35">
      <c r="B13">
        <f t="shared" si="0"/>
        <v>11</v>
      </c>
      <c r="C13" t="s">
        <v>103</v>
      </c>
      <c r="D13" t="s">
        <v>4</v>
      </c>
      <c r="E13" t="s">
        <v>104</v>
      </c>
      <c r="F13">
        <v>9</v>
      </c>
      <c r="G13">
        <f>_xlfn.LET(
    _xlpm.pos, B13,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125</v>
      </c>
    </row>
    <row r="14" spans="2:7" x14ac:dyDescent="0.35">
      <c r="B14">
        <f t="shared" si="0"/>
        <v>11</v>
      </c>
      <c r="C14" t="s">
        <v>87</v>
      </c>
      <c r="D14" t="s">
        <v>4</v>
      </c>
      <c r="E14" t="s">
        <v>88</v>
      </c>
      <c r="F14">
        <v>9</v>
      </c>
      <c r="G14">
        <f>_xlfn.LET(
    _xlpm.pos, B14,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125</v>
      </c>
    </row>
    <row r="15" spans="2:7" x14ac:dyDescent="0.35">
      <c r="B15">
        <f t="shared" si="0"/>
        <v>13</v>
      </c>
      <c r="C15" t="s">
        <v>81</v>
      </c>
      <c r="D15" t="s">
        <v>4</v>
      </c>
      <c r="E15" t="s">
        <v>82</v>
      </c>
      <c r="F15">
        <v>10</v>
      </c>
      <c r="G15">
        <f>_xlfn.LET(
    _xlpm.pos, B15,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105</v>
      </c>
    </row>
    <row r="16" spans="2:7" x14ac:dyDescent="0.35">
      <c r="B16">
        <f t="shared" si="0"/>
        <v>13</v>
      </c>
      <c r="C16" t="s">
        <v>40</v>
      </c>
      <c r="D16" t="s">
        <v>18</v>
      </c>
      <c r="E16" t="s">
        <v>58</v>
      </c>
      <c r="F16">
        <v>10</v>
      </c>
      <c r="G16">
        <f>_xlfn.LET(
    _xlpm.pos, B16,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105</v>
      </c>
    </row>
    <row r="17" spans="2:7" x14ac:dyDescent="0.35">
      <c r="B17">
        <f t="shared" si="0"/>
        <v>15</v>
      </c>
      <c r="C17" t="s">
        <v>107</v>
      </c>
      <c r="D17" t="s">
        <v>108</v>
      </c>
      <c r="E17" t="s">
        <v>109</v>
      </c>
      <c r="F17">
        <v>12</v>
      </c>
      <c r="G17">
        <f>_xlfn.LET(
    _xlpm.pos, B17,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8" spans="2:7" x14ac:dyDescent="0.35">
      <c r="B18">
        <f t="shared" si="0"/>
        <v>16</v>
      </c>
      <c r="C18" t="s">
        <v>21</v>
      </c>
      <c r="D18" t="s">
        <v>18</v>
      </c>
      <c r="E18" t="s">
        <v>22</v>
      </c>
      <c r="F18">
        <v>13</v>
      </c>
      <c r="G18">
        <f>_xlfn.LET(
    _xlpm.pos, B18,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19" spans="2:7" x14ac:dyDescent="0.35">
      <c r="B19">
        <f t="shared" si="0"/>
        <v>17</v>
      </c>
      <c r="C19" t="s">
        <v>93</v>
      </c>
      <c r="D19" t="s">
        <v>4</v>
      </c>
      <c r="E19" t="s">
        <v>94</v>
      </c>
      <c r="F19">
        <v>17</v>
      </c>
      <c r="G19">
        <f>_xlfn.LET(
    _xlpm.pos, B19,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20" spans="2:7" x14ac:dyDescent="0.35">
      <c r="B20">
        <f t="shared" si="0"/>
        <v>18</v>
      </c>
      <c r="C20" t="s">
        <v>28</v>
      </c>
      <c r="D20" t="s">
        <v>4</v>
      </c>
      <c r="E20" t="s">
        <v>29</v>
      </c>
      <c r="F20">
        <v>20</v>
      </c>
      <c r="G20">
        <f>_xlfn.LET(
    _xlpm.pos, B20,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21" spans="2:7" x14ac:dyDescent="0.35">
      <c r="B21">
        <f t="shared" si="0"/>
        <v>19</v>
      </c>
      <c r="C21" t="s">
        <v>105</v>
      </c>
      <c r="D21" t="s">
        <v>4</v>
      </c>
      <c r="E21" t="s">
        <v>106</v>
      </c>
      <c r="F21">
        <v>32</v>
      </c>
      <c r="G21">
        <f>_xlfn.LET(
    _xlpm.pos, B21,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22" spans="2:7" x14ac:dyDescent="0.35">
      <c r="B22">
        <f t="shared" si="0"/>
        <v>20</v>
      </c>
      <c r="C22" t="s">
        <v>137</v>
      </c>
      <c r="D22" t="s">
        <v>4</v>
      </c>
      <c r="E22" t="s">
        <v>138</v>
      </c>
      <c r="F22">
        <v>34</v>
      </c>
      <c r="G22">
        <f>_xlfn.LET(
    _xlpm.pos, B22,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B682-93DA-4416-966F-05A9D399C9AA}">
  <dimension ref="B2:G6"/>
  <sheetViews>
    <sheetView workbookViewId="0">
      <selection activeCell="G3" sqref="G3:G6"/>
    </sheetView>
  </sheetViews>
  <sheetFormatPr baseColWidth="10" defaultColWidth="8.7265625" defaultRowHeight="14.5" x14ac:dyDescent="0.35"/>
  <cols>
    <col min="2" max="2" width="9.6328125" customWidth="1"/>
    <col min="3" max="3" width="17.453125" customWidth="1"/>
    <col min="4" max="4" width="21" bestFit="1" customWidth="1"/>
    <col min="5" max="5" width="32.81640625" bestFit="1" customWidth="1"/>
    <col min="6" max="6" width="7.363281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>COUNTIFS($F$3:$F$951,"&lt;"&amp;$F3)+1</f>
        <v>1</v>
      </c>
      <c r="C3" t="s">
        <v>56</v>
      </c>
      <c r="D3" t="s">
        <v>18</v>
      </c>
      <c r="E3" t="s">
        <v>57</v>
      </c>
      <c r="F3">
        <v>2</v>
      </c>
      <c r="G3">
        <f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COUNTIFS($F$3:$F$951,"&lt;"&amp;$F4)+1</f>
        <v>2</v>
      </c>
      <c r="C4" t="s">
        <v>40</v>
      </c>
      <c r="D4" t="s">
        <v>18</v>
      </c>
      <c r="E4" t="s">
        <v>58</v>
      </c>
      <c r="F4">
        <v>10</v>
      </c>
      <c r="G4">
        <f>_xlfn.LET(
    _xlpm.pos, B4,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>COUNTIFS($F$3:$F$951,"&lt;"&amp;$F5)+1</f>
        <v>3</v>
      </c>
      <c r="C5" t="s">
        <v>107</v>
      </c>
      <c r="D5" t="s">
        <v>108</v>
      </c>
      <c r="E5" t="s">
        <v>109</v>
      </c>
      <c r="F5">
        <v>12</v>
      </c>
      <c r="G5">
        <f>_xlfn.LET(
    _xlpm.pos, B5,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>COUNTIFS($F$3:$F$951,"&lt;"&amp;$F6)+1</f>
        <v>4</v>
      </c>
      <c r="C6" t="s">
        <v>21</v>
      </c>
      <c r="D6" t="s">
        <v>18</v>
      </c>
      <c r="E6" t="s">
        <v>22</v>
      </c>
      <c r="F6">
        <v>13</v>
      </c>
      <c r="G6">
        <f>_xlfn.LET(
    _xlpm.pos, B6,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3EED-07D5-4713-963B-A06B5D12706B}">
  <dimension ref="B2:G14"/>
  <sheetViews>
    <sheetView workbookViewId="0">
      <selection activeCell="B3" sqref="B3:B14"/>
    </sheetView>
  </sheetViews>
  <sheetFormatPr baseColWidth="10" defaultColWidth="8.7265625" defaultRowHeight="14.5" x14ac:dyDescent="0.35"/>
  <cols>
    <col min="2" max="2" width="9.6328125" customWidth="1"/>
    <col min="3" max="3" width="17.453125" customWidth="1"/>
    <col min="4" max="4" width="21" bestFit="1" customWidth="1"/>
    <col min="5" max="5" width="32.81640625" bestFit="1" customWidth="1"/>
    <col min="6" max="6" width="7.363281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 t="shared" ref="B3:B14" si="0">COUNTIFS($F$3:$F$961,"&lt;"&amp;$F3)+1</f>
        <v>1</v>
      </c>
      <c r="C3" t="s">
        <v>62</v>
      </c>
      <c r="D3" t="s">
        <v>4</v>
      </c>
      <c r="E3" s="3" t="s">
        <v>63</v>
      </c>
      <c r="F3">
        <v>-2</v>
      </c>
      <c r="G3">
        <f>_xlfn.LET(
    _xlpm.pos, B3,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2</v>
      </c>
      <c r="C4" t="s">
        <v>89</v>
      </c>
      <c r="D4" t="s">
        <v>4</v>
      </c>
      <c r="E4" t="s">
        <v>90</v>
      </c>
      <c r="F4">
        <v>2</v>
      </c>
      <c r="G4">
        <f>_xlfn.LET(
    _xlpm.pos, B4,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 t="shared" si="0"/>
        <v>3</v>
      </c>
      <c r="C5" t="s">
        <v>8</v>
      </c>
      <c r="D5" t="s">
        <v>4</v>
      </c>
      <c r="E5" t="s">
        <v>9</v>
      </c>
      <c r="F5">
        <v>5</v>
      </c>
      <c r="G5">
        <f>_xlfn.LET(
    _xlpm.pos, B5,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75</v>
      </c>
      <c r="D6" t="s">
        <v>4</v>
      </c>
      <c r="E6" t="s">
        <v>76</v>
      </c>
      <c r="F6">
        <v>8</v>
      </c>
      <c r="G6">
        <f>_xlfn.LET(
    _xlpm.pos, B6,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103</v>
      </c>
      <c r="D7" t="s">
        <v>4</v>
      </c>
      <c r="E7" t="s">
        <v>104</v>
      </c>
      <c r="F7">
        <v>9</v>
      </c>
      <c r="G7">
        <f>_xlfn.LET(
    _xlpm.pos, B7,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8" spans="2:7" x14ac:dyDescent="0.35">
      <c r="B8">
        <f t="shared" si="0"/>
        <v>5</v>
      </c>
      <c r="C8" t="s">
        <v>87</v>
      </c>
      <c r="D8" t="s">
        <v>4</v>
      </c>
      <c r="E8" t="s">
        <v>88</v>
      </c>
      <c r="F8">
        <v>9</v>
      </c>
      <c r="G8">
        <f>_xlfn.LET(
    _xlpm.pos, B8,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9" spans="2:7" x14ac:dyDescent="0.35">
      <c r="B9">
        <f t="shared" si="0"/>
        <v>7</v>
      </c>
      <c r="C9" t="s">
        <v>81</v>
      </c>
      <c r="D9" t="s">
        <v>4</v>
      </c>
      <c r="E9" t="s">
        <v>82</v>
      </c>
      <c r="F9">
        <v>10</v>
      </c>
      <c r="G9">
        <f>_xlfn.LET(
    _xlpm.pos, B9,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0" spans="2:7" x14ac:dyDescent="0.35">
      <c r="B10">
        <f t="shared" si="0"/>
        <v>7</v>
      </c>
      <c r="C10" t="s">
        <v>40</v>
      </c>
      <c r="D10" t="s">
        <v>18</v>
      </c>
      <c r="E10" t="s">
        <v>58</v>
      </c>
      <c r="F10">
        <v>10</v>
      </c>
      <c r="G10">
        <f>_xlfn.LET(
    _xlpm.pos, B10,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1" spans="2:7" x14ac:dyDescent="0.35">
      <c r="B11">
        <f t="shared" si="0"/>
        <v>9</v>
      </c>
      <c r="C11" t="s">
        <v>107</v>
      </c>
      <c r="D11" t="s">
        <v>108</v>
      </c>
      <c r="E11" t="s">
        <v>109</v>
      </c>
      <c r="F11">
        <v>12</v>
      </c>
      <c r="G11">
        <f>_xlfn.LET(
    _xlpm.pos, B11,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2" spans="2:7" x14ac:dyDescent="0.35">
      <c r="B12">
        <f t="shared" si="0"/>
        <v>10</v>
      </c>
      <c r="C12" t="s">
        <v>93</v>
      </c>
      <c r="D12" t="s">
        <v>4</v>
      </c>
      <c r="E12" t="s">
        <v>94</v>
      </c>
      <c r="F12">
        <v>17</v>
      </c>
      <c r="G12">
        <f>_xlfn.LET(
    _xlpm.pos, B12,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3" spans="2:7" x14ac:dyDescent="0.35">
      <c r="B13">
        <f t="shared" si="0"/>
        <v>11</v>
      </c>
      <c r="C13" t="s">
        <v>105</v>
      </c>
      <c r="D13" t="s">
        <v>4</v>
      </c>
      <c r="E13" t="s">
        <v>106</v>
      </c>
      <c r="F13">
        <v>32</v>
      </c>
      <c r="G13">
        <f>_xlfn.LET(
    _xlpm.pos, B13,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4" spans="2:7" x14ac:dyDescent="0.35">
      <c r="B14">
        <f t="shared" si="0"/>
        <v>12</v>
      </c>
      <c r="C14" t="s">
        <v>137</v>
      </c>
      <c r="D14" t="s">
        <v>4</v>
      </c>
      <c r="E14" t="s">
        <v>138</v>
      </c>
      <c r="F14">
        <v>34</v>
      </c>
      <c r="G14">
        <f>_xlfn.LET(
    _xlpm.pos, B14,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3CF2-BDCD-4960-A427-70D39825E645}">
  <dimension ref="B2:G26"/>
  <sheetViews>
    <sheetView workbookViewId="0">
      <selection activeCell="G3" sqref="G3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26" si="0">COUNTIFS($F$3:$F$969,"&lt;"&amp;$F3)+1</f>
        <v>15</v>
      </c>
      <c r="C3" t="s">
        <v>8</v>
      </c>
      <c r="D3" t="s">
        <v>4</v>
      </c>
      <c r="E3" t="s">
        <v>9</v>
      </c>
      <c r="F3">
        <v>8</v>
      </c>
      <c r="G3">
        <f>_xlfn.LET(
    _xlpm.pos, B3,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4" spans="2:7" x14ac:dyDescent="0.35">
      <c r="B4">
        <f t="shared" si="0"/>
        <v>1</v>
      </c>
      <c r="C4" t="s">
        <v>10</v>
      </c>
      <c r="D4" t="s">
        <v>4</v>
      </c>
      <c r="E4" t="s">
        <v>11</v>
      </c>
      <c r="F4">
        <v>-12</v>
      </c>
      <c r="G4">
        <f>_xlfn.LET(
    _xlpm.pos, B4,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5" spans="2:7" x14ac:dyDescent="0.35">
      <c r="B5">
        <f t="shared" si="0"/>
        <v>20</v>
      </c>
      <c r="C5" t="s">
        <v>14</v>
      </c>
      <c r="D5" t="s">
        <v>4</v>
      </c>
      <c r="E5" t="s">
        <v>98</v>
      </c>
      <c r="F5">
        <v>12</v>
      </c>
      <c r="G5">
        <f>_xlfn.LET(
    _xlpm.pos, B5,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6" spans="2:7" x14ac:dyDescent="0.35">
      <c r="B6">
        <f t="shared" si="0"/>
        <v>3</v>
      </c>
      <c r="C6" t="s">
        <v>74</v>
      </c>
      <c r="D6" t="s">
        <v>4</v>
      </c>
      <c r="E6" t="s">
        <v>53</v>
      </c>
      <c r="F6">
        <v>-1</v>
      </c>
      <c r="G6">
        <f>_xlfn.LET(
    _xlpm.pos, B6,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7" spans="2:7" x14ac:dyDescent="0.35">
      <c r="B7">
        <f t="shared" si="0"/>
        <v>5</v>
      </c>
      <c r="C7" t="s">
        <v>93</v>
      </c>
      <c r="D7" t="s">
        <v>4</v>
      </c>
      <c r="E7" t="s">
        <v>94</v>
      </c>
      <c r="F7">
        <v>1</v>
      </c>
      <c r="G7">
        <f>_xlfn.LET(
    _xlpm.pos, B7,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8" spans="2:7" x14ac:dyDescent="0.35">
      <c r="B8">
        <f t="shared" si="0"/>
        <v>23</v>
      </c>
      <c r="C8" t="s">
        <v>99</v>
      </c>
      <c r="D8" t="s">
        <v>4</v>
      </c>
      <c r="E8" t="s">
        <v>100</v>
      </c>
      <c r="F8">
        <v>18</v>
      </c>
      <c r="G8">
        <f>_xlfn.LET(
    _xlpm.pos, B8,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58</v>
      </c>
    </row>
    <row r="9" spans="2:7" x14ac:dyDescent="0.35">
      <c r="B9">
        <f t="shared" si="0"/>
        <v>9</v>
      </c>
      <c r="C9" t="s">
        <v>17</v>
      </c>
      <c r="D9" t="s">
        <v>18</v>
      </c>
      <c r="E9" t="s">
        <v>19</v>
      </c>
      <c r="F9">
        <v>3</v>
      </c>
      <c r="G9">
        <f>_xlfn.LET(
    _xlpm.pos, B9,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0" spans="2:7" x14ac:dyDescent="0.35">
      <c r="B10">
        <f t="shared" si="0"/>
        <v>22</v>
      </c>
      <c r="C10" t="s">
        <v>101</v>
      </c>
      <c r="D10" t="s">
        <v>4</v>
      </c>
      <c r="E10" t="s">
        <v>102</v>
      </c>
      <c r="F10">
        <v>16</v>
      </c>
      <c r="G10">
        <f>_xlfn.LET(
    _xlpm.pos, B10,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62</v>
      </c>
    </row>
    <row r="11" spans="2:7" x14ac:dyDescent="0.35">
      <c r="B11">
        <f t="shared" si="0"/>
        <v>10</v>
      </c>
      <c r="C11" t="s">
        <v>75</v>
      </c>
      <c r="D11" t="s">
        <v>4</v>
      </c>
      <c r="E11" t="s">
        <v>76</v>
      </c>
      <c r="F11">
        <v>5</v>
      </c>
      <c r="G11">
        <f>_xlfn.LET(
    _xlpm.pos, B11,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2" spans="2:7" x14ac:dyDescent="0.35">
      <c r="B12">
        <f t="shared" si="0"/>
        <v>2</v>
      </c>
      <c r="C12" t="s">
        <v>77</v>
      </c>
      <c r="D12" t="s">
        <v>4</v>
      </c>
      <c r="E12" t="s">
        <v>20</v>
      </c>
      <c r="F12">
        <v>-2</v>
      </c>
      <c r="G12">
        <f>_xlfn.LET(
    _xlpm.pos, B12,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3" spans="2:7" x14ac:dyDescent="0.35">
      <c r="B13">
        <f t="shared" si="0"/>
        <v>17</v>
      </c>
      <c r="C13" t="s">
        <v>80</v>
      </c>
      <c r="D13" t="s">
        <v>18</v>
      </c>
      <c r="E13" t="s">
        <v>22</v>
      </c>
      <c r="F13">
        <v>10</v>
      </c>
      <c r="G13">
        <f>_xlfn.LET(
    _xlpm.pos, B13,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82.5</v>
      </c>
    </row>
    <row r="14" spans="2:7" x14ac:dyDescent="0.35">
      <c r="B14">
        <f t="shared" si="0"/>
        <v>24</v>
      </c>
      <c r="C14" t="s">
        <v>24</v>
      </c>
      <c r="D14" t="s">
        <v>18</v>
      </c>
      <c r="E14" t="s">
        <v>25</v>
      </c>
      <c r="F14">
        <v>22</v>
      </c>
      <c r="G14">
        <f>_xlfn.LET(
    _xlpm.pos, B14,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54</v>
      </c>
    </row>
    <row r="15" spans="2:7" x14ac:dyDescent="0.35">
      <c r="B15">
        <f t="shared" si="0"/>
        <v>17</v>
      </c>
      <c r="C15" t="s">
        <v>107</v>
      </c>
      <c r="D15" t="s">
        <v>108</v>
      </c>
      <c r="E15" t="s">
        <v>109</v>
      </c>
      <c r="F15">
        <v>10</v>
      </c>
      <c r="G15">
        <f>_xlfn.LET(
    _xlpm.pos, B15,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82.5</v>
      </c>
    </row>
    <row r="16" spans="2:7" x14ac:dyDescent="0.35">
      <c r="B16">
        <f t="shared" si="0"/>
        <v>7</v>
      </c>
      <c r="C16" t="s">
        <v>81</v>
      </c>
      <c r="D16" t="s">
        <v>4</v>
      </c>
      <c r="E16" t="s">
        <v>82</v>
      </c>
      <c r="F16">
        <v>2</v>
      </c>
      <c r="G16">
        <f>_xlfn.LET(
    _xlpm.pos, B16,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7" spans="2:7" x14ac:dyDescent="0.35">
      <c r="B17">
        <f t="shared" si="0"/>
        <v>11</v>
      </c>
      <c r="C17" t="s">
        <v>26</v>
      </c>
      <c r="D17" t="s">
        <v>4</v>
      </c>
      <c r="E17" t="s">
        <v>27</v>
      </c>
      <c r="F17">
        <v>6</v>
      </c>
      <c r="G17">
        <f>_xlfn.LET(
    _xlpm.pos, B17,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18" spans="2:7" x14ac:dyDescent="0.35">
      <c r="B18">
        <f t="shared" si="0"/>
        <v>5</v>
      </c>
      <c r="C18" t="s">
        <v>30</v>
      </c>
      <c r="D18" t="s">
        <v>4</v>
      </c>
      <c r="E18" t="s">
        <v>31</v>
      </c>
      <c r="F18">
        <v>1</v>
      </c>
      <c r="G18">
        <f>_xlfn.LET(
    _xlpm.pos, B18,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19" spans="2:7" x14ac:dyDescent="0.35">
      <c r="B19">
        <f t="shared" si="0"/>
        <v>11</v>
      </c>
      <c r="C19" t="s">
        <v>115</v>
      </c>
      <c r="D19" t="s">
        <v>117</v>
      </c>
      <c r="E19" t="s">
        <v>116</v>
      </c>
      <c r="F19">
        <v>6</v>
      </c>
      <c r="G19">
        <f>_xlfn.LET(
    _xlpm.pos, B19,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20" spans="2:7" x14ac:dyDescent="0.35">
      <c r="B20">
        <f t="shared" si="0"/>
        <v>19</v>
      </c>
      <c r="C20" t="s">
        <v>85</v>
      </c>
      <c r="D20" t="s">
        <v>4</v>
      </c>
      <c r="E20" t="s">
        <v>86</v>
      </c>
      <c r="F20">
        <v>11</v>
      </c>
      <c r="G20">
        <f>_xlfn.LET(
    _xlpm.pos, B20,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21" spans="2:7" x14ac:dyDescent="0.35">
      <c r="B21">
        <f t="shared" si="0"/>
        <v>21</v>
      </c>
      <c r="C21" t="s">
        <v>87</v>
      </c>
      <c r="D21" t="s">
        <v>4</v>
      </c>
      <c r="E21" t="s">
        <v>88</v>
      </c>
      <c r="F21">
        <v>14</v>
      </c>
      <c r="G21">
        <f>_xlfn.LET(
    _xlpm.pos, B21,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66</v>
      </c>
    </row>
    <row r="22" spans="2:7" x14ac:dyDescent="0.35">
      <c r="B22">
        <f t="shared" si="0"/>
        <v>7</v>
      </c>
      <c r="C22" t="s">
        <v>56</v>
      </c>
      <c r="D22" t="s">
        <v>18</v>
      </c>
      <c r="E22" t="s">
        <v>57</v>
      </c>
      <c r="F22">
        <v>2</v>
      </c>
      <c r="G22">
        <f>_xlfn.LET(
    _xlpm.pos, B22,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23" spans="2:7" x14ac:dyDescent="0.35">
      <c r="B23">
        <f t="shared" si="0"/>
        <v>11</v>
      </c>
      <c r="C23" t="s">
        <v>40</v>
      </c>
      <c r="D23" t="s">
        <v>18</v>
      </c>
      <c r="E23" t="s">
        <v>58</v>
      </c>
      <c r="F23">
        <v>6</v>
      </c>
      <c r="G23">
        <f>_xlfn.LET(
    _xlpm.pos, B23,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24" spans="2:7" x14ac:dyDescent="0.35">
      <c r="B24">
        <f t="shared" si="0"/>
        <v>16</v>
      </c>
      <c r="C24" t="s">
        <v>89</v>
      </c>
      <c r="D24" t="s">
        <v>4</v>
      </c>
      <c r="E24" t="s">
        <v>90</v>
      </c>
      <c r="F24">
        <v>9</v>
      </c>
      <c r="G24">
        <f>_xlfn.LET(
    _xlpm.pos, B24,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25" spans="2:7" x14ac:dyDescent="0.35">
      <c r="B25">
        <f t="shared" si="0"/>
        <v>11</v>
      </c>
      <c r="C25" t="s">
        <v>59</v>
      </c>
      <c r="D25" t="s">
        <v>4</v>
      </c>
      <c r="E25" t="s">
        <v>60</v>
      </c>
      <c r="F25">
        <v>6</v>
      </c>
      <c r="G25">
        <f>_xlfn.LET(
    _xlpm.pos, B25,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26" spans="2:7" x14ac:dyDescent="0.35">
      <c r="B26">
        <f t="shared" si="0"/>
        <v>4</v>
      </c>
      <c r="C26" t="s">
        <v>62</v>
      </c>
      <c r="D26" t="s">
        <v>4</v>
      </c>
      <c r="E26" t="s">
        <v>63</v>
      </c>
      <c r="F26">
        <v>0</v>
      </c>
      <c r="G26">
        <f>_xlfn.LET(
    _xlpm.pos, B26,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E131-DFDF-4BB0-8740-2F84593E29E5}">
  <dimension ref="B2:G8"/>
  <sheetViews>
    <sheetView workbookViewId="0">
      <selection activeCell="D14" sqref="D14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8" si="0">COUNTIFS($F$3:$F$951,"&lt;"&amp;$F3)+1</f>
        <v>2</v>
      </c>
      <c r="C3" t="s">
        <v>17</v>
      </c>
      <c r="D3" t="s">
        <v>18</v>
      </c>
      <c r="E3" t="s">
        <v>19</v>
      </c>
      <c r="F3">
        <v>3</v>
      </c>
      <c r="G3">
        <f>_xlfn.LET(
    _xlpm.pos, B3,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4" spans="2:7" x14ac:dyDescent="0.35">
      <c r="B4">
        <f t="shared" si="0"/>
        <v>4</v>
      </c>
      <c r="C4" t="s">
        <v>80</v>
      </c>
      <c r="D4" t="s">
        <v>18</v>
      </c>
      <c r="E4" t="s">
        <v>22</v>
      </c>
      <c r="F4">
        <v>10</v>
      </c>
      <c r="G4">
        <f>_xlfn.LET(
    _xlpm.pos, B4,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5" spans="2:7" x14ac:dyDescent="0.35">
      <c r="B5">
        <f t="shared" si="0"/>
        <v>5</v>
      </c>
      <c r="C5" t="s">
        <v>24</v>
      </c>
      <c r="D5" t="s">
        <v>18</v>
      </c>
      <c r="E5" t="s">
        <v>25</v>
      </c>
      <c r="F5">
        <v>22</v>
      </c>
      <c r="G5">
        <f>_xlfn.LET(
    _xlpm.pos, B5,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6" spans="2:7" x14ac:dyDescent="0.35">
      <c r="B6">
        <f t="shared" si="0"/>
        <v>6</v>
      </c>
      <c r="C6" t="s">
        <v>133</v>
      </c>
      <c r="D6" t="s">
        <v>18</v>
      </c>
      <c r="E6" t="s">
        <v>134</v>
      </c>
      <c r="F6">
        <v>24</v>
      </c>
      <c r="G6">
        <f>_xlfn.LET(
    _xlpm.pos, B6,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7" spans="2:7" x14ac:dyDescent="0.35">
      <c r="B7">
        <f t="shared" si="0"/>
        <v>1</v>
      </c>
      <c r="C7" t="s">
        <v>56</v>
      </c>
      <c r="D7" t="s">
        <v>18</v>
      </c>
      <c r="E7" t="s">
        <v>57</v>
      </c>
      <c r="F7">
        <v>2</v>
      </c>
      <c r="G7">
        <f>_xlfn.LET(
    _xlpm.pos, B7,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8" spans="2:7" x14ac:dyDescent="0.35">
      <c r="B8">
        <f t="shared" si="0"/>
        <v>3</v>
      </c>
      <c r="C8" t="s">
        <v>40</v>
      </c>
      <c r="D8" t="s">
        <v>18</v>
      </c>
      <c r="E8" t="s">
        <v>58</v>
      </c>
      <c r="F8">
        <v>6</v>
      </c>
      <c r="G8">
        <f>_xlfn.LET(
    _xlpm.pos, B8,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3A62-2E2A-41A8-8E57-CE79B0B1890B}">
  <dimension ref="B2:G13"/>
  <sheetViews>
    <sheetView workbookViewId="0">
      <selection activeCell="D24" sqref="D24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13" si="0">COUNTIFS($F$3:$F$956,"&lt;"&amp;$F3)+1</f>
        <v>1</v>
      </c>
      <c r="C3" t="s">
        <v>93</v>
      </c>
      <c r="D3" t="s">
        <v>4</v>
      </c>
      <c r="E3" t="s">
        <v>94</v>
      </c>
      <c r="F3">
        <v>1</v>
      </c>
      <c r="G3">
        <f>_xlfn.LET(
    _xlpm.pos, B3,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9</v>
      </c>
      <c r="C4" t="s">
        <v>99</v>
      </c>
      <c r="D4" t="s">
        <v>4</v>
      </c>
      <c r="E4" t="s">
        <v>100</v>
      </c>
      <c r="F4">
        <v>18</v>
      </c>
      <c r="G4">
        <f>_xlfn.LET(
    _xlpm.pos, B4,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5" spans="2:7" x14ac:dyDescent="0.35">
      <c r="B5">
        <f t="shared" si="0"/>
        <v>8</v>
      </c>
      <c r="C5" t="s">
        <v>101</v>
      </c>
      <c r="D5" t="s">
        <v>4</v>
      </c>
      <c r="E5" t="s">
        <v>102</v>
      </c>
      <c r="F5">
        <v>16</v>
      </c>
      <c r="G5">
        <f>_xlfn.LET(
    _xlpm.pos, B5,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6" spans="2:7" x14ac:dyDescent="0.35">
      <c r="B6">
        <f t="shared" si="0"/>
        <v>3</v>
      </c>
      <c r="C6" t="s">
        <v>75</v>
      </c>
      <c r="D6" t="s">
        <v>4</v>
      </c>
      <c r="E6" t="s">
        <v>76</v>
      </c>
      <c r="F6">
        <v>5</v>
      </c>
      <c r="G6">
        <f>_xlfn.LET(
    _xlpm.pos, B6,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7" spans="2:7" x14ac:dyDescent="0.35">
      <c r="B7">
        <f t="shared" si="0"/>
        <v>5</v>
      </c>
      <c r="C7" t="s">
        <v>80</v>
      </c>
      <c r="D7" t="s">
        <v>18</v>
      </c>
      <c r="E7" t="s">
        <v>22</v>
      </c>
      <c r="F7">
        <v>10</v>
      </c>
      <c r="G7">
        <f>_xlfn.LET(
    _xlpm.pos, B7,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10</v>
      </c>
      <c r="C8" t="s">
        <v>24</v>
      </c>
      <c r="D8" t="s">
        <v>18</v>
      </c>
      <c r="E8" t="s">
        <v>25</v>
      </c>
      <c r="F8">
        <v>22</v>
      </c>
      <c r="G8">
        <f>_xlfn.LET(
    _xlpm.pos, B8,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9" spans="2:7" x14ac:dyDescent="0.35">
      <c r="B9">
        <f t="shared" si="0"/>
        <v>2</v>
      </c>
      <c r="C9" t="s">
        <v>81</v>
      </c>
      <c r="D9" t="s">
        <v>4</v>
      </c>
      <c r="E9" t="s">
        <v>82</v>
      </c>
      <c r="F9">
        <v>2</v>
      </c>
      <c r="G9">
        <f>_xlfn.LET(
    _xlpm.pos, B9,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0" spans="2:7" x14ac:dyDescent="0.35">
      <c r="B10">
        <f t="shared" si="0"/>
        <v>11</v>
      </c>
      <c r="C10" t="s">
        <v>133</v>
      </c>
      <c r="D10" t="s">
        <v>18</v>
      </c>
      <c r="E10" t="s">
        <v>134</v>
      </c>
      <c r="F10">
        <v>24</v>
      </c>
      <c r="G10">
        <f>_xlfn.LET(
    _xlpm.pos, B10,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1" spans="2:7" x14ac:dyDescent="0.35">
      <c r="B11">
        <f t="shared" si="0"/>
        <v>6</v>
      </c>
      <c r="C11" t="s">
        <v>85</v>
      </c>
      <c r="D11" t="s">
        <v>4</v>
      </c>
      <c r="E11" t="s">
        <v>86</v>
      </c>
      <c r="F11">
        <v>11</v>
      </c>
      <c r="G11">
        <f>_xlfn.LET(
    _xlpm.pos, B11,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2" spans="2:7" x14ac:dyDescent="0.35">
      <c r="B12">
        <f t="shared" si="0"/>
        <v>7</v>
      </c>
      <c r="C12" t="s">
        <v>87</v>
      </c>
      <c r="D12" t="s">
        <v>4</v>
      </c>
      <c r="E12" t="s">
        <v>88</v>
      </c>
      <c r="F12">
        <v>14</v>
      </c>
      <c r="G12">
        <f>_xlfn.LET(
    _xlpm.pos, B12,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3" spans="2:7" x14ac:dyDescent="0.35">
      <c r="B13">
        <f t="shared" si="0"/>
        <v>4</v>
      </c>
      <c r="C13" t="s">
        <v>89</v>
      </c>
      <c r="D13" t="s">
        <v>4</v>
      </c>
      <c r="E13" t="s">
        <v>90</v>
      </c>
      <c r="F13">
        <v>9</v>
      </c>
      <c r="G13">
        <f>_xlfn.LET(
    _xlpm.pos, B13,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C409-18E4-403C-A898-1574C23362E2}">
  <dimension ref="B2:G17"/>
  <sheetViews>
    <sheetView workbookViewId="0">
      <selection activeCell="E22" sqref="E22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17" si="0">COUNTIFS($F$3:$F$960,"&lt;"&amp;$F3)+1</f>
        <v>7</v>
      </c>
      <c r="C3" t="s">
        <v>8</v>
      </c>
      <c r="D3" t="s">
        <v>4</v>
      </c>
      <c r="E3" t="s">
        <v>9</v>
      </c>
      <c r="F3">
        <v>8</v>
      </c>
      <c r="G3">
        <f>_xlfn.LET(
    _xlpm.pos, B3,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4" spans="2:7" x14ac:dyDescent="0.35">
      <c r="B4">
        <f t="shared" si="0"/>
        <v>10</v>
      </c>
      <c r="C4" t="s">
        <v>14</v>
      </c>
      <c r="D4" t="s">
        <v>4</v>
      </c>
      <c r="E4" t="s">
        <v>98</v>
      </c>
      <c r="F4">
        <v>12</v>
      </c>
      <c r="G4">
        <f>_xlfn.LET(
    _xlpm.pos, B4,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5" spans="2:7" x14ac:dyDescent="0.35">
      <c r="B5">
        <f t="shared" si="0"/>
        <v>3</v>
      </c>
      <c r="C5" t="s">
        <v>93</v>
      </c>
      <c r="D5" t="s">
        <v>4</v>
      </c>
      <c r="E5" t="s">
        <v>94</v>
      </c>
      <c r="F5">
        <v>1</v>
      </c>
      <c r="G5">
        <f>_xlfn.LET(
    _xlpm.pos, B5,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13</v>
      </c>
      <c r="C6" t="s">
        <v>99</v>
      </c>
      <c r="D6" t="s">
        <v>4</v>
      </c>
      <c r="E6" t="s">
        <v>100</v>
      </c>
      <c r="F6">
        <v>18</v>
      </c>
      <c r="G6">
        <f>_xlfn.LET(
    _xlpm.pos, B6,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7" spans="2:7" x14ac:dyDescent="0.35">
      <c r="B7">
        <f t="shared" si="0"/>
        <v>12</v>
      </c>
      <c r="C7" t="s">
        <v>101</v>
      </c>
      <c r="D7" t="s">
        <v>4</v>
      </c>
      <c r="E7" t="s">
        <v>102</v>
      </c>
      <c r="F7">
        <v>16</v>
      </c>
      <c r="G7">
        <f>_xlfn.LET(
    _xlpm.pos, B7,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8" spans="2:7" x14ac:dyDescent="0.35">
      <c r="B8">
        <f t="shared" si="0"/>
        <v>5</v>
      </c>
      <c r="C8" t="s">
        <v>75</v>
      </c>
      <c r="D8" t="s">
        <v>4</v>
      </c>
      <c r="E8" t="s">
        <v>76</v>
      </c>
      <c r="F8">
        <v>5</v>
      </c>
      <c r="G8">
        <f>_xlfn.LET(
    _xlpm.pos, B8,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9" spans="2:7" x14ac:dyDescent="0.35">
      <c r="B9">
        <f t="shared" si="0"/>
        <v>1</v>
      </c>
      <c r="C9" t="s">
        <v>77</v>
      </c>
      <c r="D9" t="s">
        <v>4</v>
      </c>
      <c r="E9" t="s">
        <v>20</v>
      </c>
      <c r="F9">
        <v>-2</v>
      </c>
      <c r="G9">
        <f>_xlfn.LET(
    _xlpm.pos, B9,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10" spans="2:7" x14ac:dyDescent="0.35">
      <c r="B10">
        <f t="shared" si="0"/>
        <v>14</v>
      </c>
      <c r="C10" t="s">
        <v>24</v>
      </c>
      <c r="D10" t="s">
        <v>18</v>
      </c>
      <c r="E10" t="s">
        <v>25</v>
      </c>
      <c r="F10">
        <v>22</v>
      </c>
      <c r="G10">
        <f>_xlfn.LET(
    _xlpm.pos, B10,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1" spans="2:7" x14ac:dyDescent="0.35">
      <c r="B11">
        <f t="shared" si="0"/>
        <v>4</v>
      </c>
      <c r="C11" t="s">
        <v>81</v>
      </c>
      <c r="D11" t="s">
        <v>4</v>
      </c>
      <c r="E11" t="s">
        <v>82</v>
      </c>
      <c r="F11">
        <v>2</v>
      </c>
      <c r="G11">
        <f>_xlfn.LET(
    _xlpm.pos, B11,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2" spans="2:7" x14ac:dyDescent="0.35">
      <c r="B12">
        <f t="shared" si="0"/>
        <v>15</v>
      </c>
      <c r="C12" t="s">
        <v>133</v>
      </c>
      <c r="D12" t="s">
        <v>18</v>
      </c>
      <c r="E12" t="s">
        <v>134</v>
      </c>
      <c r="F12">
        <v>24</v>
      </c>
      <c r="G12">
        <f>_xlfn.LET(
    _xlpm.pos, B12,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3" spans="2:7" x14ac:dyDescent="0.35">
      <c r="B13">
        <f t="shared" si="0"/>
        <v>9</v>
      </c>
      <c r="C13" t="s">
        <v>85</v>
      </c>
      <c r="D13" t="s">
        <v>4</v>
      </c>
      <c r="E13" t="s">
        <v>86</v>
      </c>
      <c r="F13">
        <v>11</v>
      </c>
      <c r="G13">
        <f>_xlfn.LET(
    _xlpm.pos, B13,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4" spans="2:7" x14ac:dyDescent="0.35">
      <c r="B14">
        <f t="shared" si="0"/>
        <v>11</v>
      </c>
      <c r="C14" t="s">
        <v>87</v>
      </c>
      <c r="D14" t="s">
        <v>4</v>
      </c>
      <c r="E14" t="s">
        <v>88</v>
      </c>
      <c r="F14">
        <v>14</v>
      </c>
      <c r="G14">
        <f>_xlfn.LET(
    _xlpm.pos, B14,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5" spans="2:7" x14ac:dyDescent="0.35">
      <c r="B15">
        <f t="shared" si="0"/>
        <v>6</v>
      </c>
      <c r="C15" t="s">
        <v>40</v>
      </c>
      <c r="D15" t="s">
        <v>18</v>
      </c>
      <c r="E15" t="s">
        <v>58</v>
      </c>
      <c r="F15">
        <v>6</v>
      </c>
      <c r="G15">
        <f>_xlfn.LET(
    _xlpm.pos, B15,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6" spans="2:7" x14ac:dyDescent="0.35">
      <c r="B16">
        <f t="shared" si="0"/>
        <v>8</v>
      </c>
      <c r="C16" t="s">
        <v>89</v>
      </c>
      <c r="D16" t="s">
        <v>4</v>
      </c>
      <c r="E16" t="s">
        <v>90</v>
      </c>
      <c r="F16">
        <v>9</v>
      </c>
      <c r="G16">
        <f>_xlfn.LET(
    _xlpm.pos, B16,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7" spans="2:7" x14ac:dyDescent="0.35">
      <c r="B17">
        <f t="shared" si="0"/>
        <v>2</v>
      </c>
      <c r="C17" t="s">
        <v>62</v>
      </c>
      <c r="D17" t="s">
        <v>4</v>
      </c>
      <c r="E17" t="s">
        <v>63</v>
      </c>
      <c r="F17">
        <v>0</v>
      </c>
      <c r="G17">
        <f>_xlfn.LET(
    _xlpm.pos, B17,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BBF5-9B65-44A9-A65B-1F3FADD81881}">
  <dimension ref="B2:G22"/>
  <sheetViews>
    <sheetView workbookViewId="0">
      <selection activeCell="B3" sqref="B3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22" si="0">COUNTIFS($F$3:$F$970,"&lt;"&amp;$F3)+1</f>
        <v>20</v>
      </c>
      <c r="C3" t="s">
        <v>113</v>
      </c>
      <c r="D3" t="s">
        <v>18</v>
      </c>
      <c r="E3" t="s">
        <v>114</v>
      </c>
      <c r="F3">
        <v>187</v>
      </c>
      <c r="G3">
        <f>_xlfn.LET(
    _xlpm.pos, B3,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140</v>
      </c>
    </row>
    <row r="4" spans="2:7" x14ac:dyDescent="0.35">
      <c r="B4">
        <f t="shared" si="0"/>
        <v>19</v>
      </c>
      <c r="C4" t="s">
        <v>111</v>
      </c>
      <c r="D4" t="s">
        <v>4</v>
      </c>
      <c r="E4" t="s">
        <v>112</v>
      </c>
      <c r="F4">
        <v>186</v>
      </c>
      <c r="G4">
        <f>_xlfn.LET(
    _xlpm.pos, B4,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150</v>
      </c>
    </row>
    <row r="5" spans="2:7" x14ac:dyDescent="0.35">
      <c r="B5">
        <f t="shared" si="0"/>
        <v>18</v>
      </c>
      <c r="C5" t="s">
        <v>80</v>
      </c>
      <c r="D5" t="s">
        <v>18</v>
      </c>
      <c r="E5" t="s">
        <v>22</v>
      </c>
      <c r="F5">
        <v>58</v>
      </c>
      <c r="G5">
        <f>_xlfn.LET(
    _xlpm.pos, B5,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160</v>
      </c>
    </row>
    <row r="6" spans="2:7" x14ac:dyDescent="0.35">
      <c r="B6">
        <f t="shared" si="0"/>
        <v>16</v>
      </c>
      <c r="C6" t="s">
        <v>115</v>
      </c>
      <c r="D6" t="s">
        <v>117</v>
      </c>
      <c r="E6" t="s">
        <v>116</v>
      </c>
      <c r="F6">
        <v>44</v>
      </c>
      <c r="G6">
        <f>_xlfn.LET(
    _xlpm.pos, B6,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175</v>
      </c>
    </row>
    <row r="7" spans="2:7" x14ac:dyDescent="0.35">
      <c r="B7">
        <f t="shared" si="0"/>
        <v>16</v>
      </c>
      <c r="C7" t="s">
        <v>85</v>
      </c>
      <c r="D7" t="s">
        <v>4</v>
      </c>
      <c r="E7" t="s">
        <v>86</v>
      </c>
      <c r="F7">
        <v>44</v>
      </c>
      <c r="G7">
        <f>_xlfn.LET(
    _xlpm.pos, B7,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175</v>
      </c>
    </row>
    <row r="8" spans="2:7" x14ac:dyDescent="0.35">
      <c r="B8">
        <f t="shared" si="0"/>
        <v>15</v>
      </c>
      <c r="C8" t="s">
        <v>75</v>
      </c>
      <c r="D8" t="s">
        <v>4</v>
      </c>
      <c r="E8" t="s">
        <v>76</v>
      </c>
      <c r="F8">
        <v>43</v>
      </c>
      <c r="G8">
        <f>_xlfn.LET(
    _xlpm.pos, B8,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190</v>
      </c>
    </row>
    <row r="9" spans="2:7" x14ac:dyDescent="0.35">
      <c r="B9">
        <f t="shared" si="0"/>
        <v>14</v>
      </c>
      <c r="C9" t="s">
        <v>87</v>
      </c>
      <c r="D9" t="s">
        <v>4</v>
      </c>
      <c r="E9" t="s">
        <v>88</v>
      </c>
      <c r="F9">
        <v>42</v>
      </c>
      <c r="G9">
        <f>_xlfn.LET(
    _xlpm.pos, B9,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200</v>
      </c>
    </row>
    <row r="10" spans="2:7" x14ac:dyDescent="0.35">
      <c r="B10">
        <f t="shared" si="0"/>
        <v>13</v>
      </c>
      <c r="C10" t="s">
        <v>28</v>
      </c>
      <c r="D10" t="s">
        <v>4</v>
      </c>
      <c r="E10" t="s">
        <v>29</v>
      </c>
      <c r="F10">
        <v>41</v>
      </c>
      <c r="G10">
        <f>_xlfn.LET(
    _xlpm.pos, B10,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220</v>
      </c>
    </row>
    <row r="11" spans="2:7" x14ac:dyDescent="0.35">
      <c r="B11">
        <f t="shared" si="0"/>
        <v>11</v>
      </c>
      <c r="C11" t="s">
        <v>14</v>
      </c>
      <c r="D11" t="s">
        <v>4</v>
      </c>
      <c r="E11" t="s">
        <v>98</v>
      </c>
      <c r="F11">
        <v>36</v>
      </c>
      <c r="G11">
        <f>_xlfn.LET(
    _xlpm.pos, B11,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250</v>
      </c>
    </row>
    <row r="12" spans="2:7" x14ac:dyDescent="0.35">
      <c r="B12">
        <f t="shared" si="0"/>
        <v>11</v>
      </c>
      <c r="C12" t="s">
        <v>77</v>
      </c>
      <c r="D12" t="s">
        <v>4</v>
      </c>
      <c r="E12" t="s">
        <v>20</v>
      </c>
      <c r="F12">
        <v>36</v>
      </c>
      <c r="G12">
        <f>_xlfn.LET(
    _xlpm.pos, B12,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250</v>
      </c>
    </row>
    <row r="13" spans="2:7" x14ac:dyDescent="0.35">
      <c r="B13">
        <f t="shared" si="0"/>
        <v>10</v>
      </c>
      <c r="C13" t="s">
        <v>93</v>
      </c>
      <c r="D13" t="s">
        <v>4</v>
      </c>
      <c r="E13" t="s">
        <v>94</v>
      </c>
      <c r="F13">
        <v>33</v>
      </c>
      <c r="G13">
        <f>_xlfn.LET(
    _xlpm.pos, B13,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280</v>
      </c>
    </row>
    <row r="14" spans="2:7" x14ac:dyDescent="0.35">
      <c r="B14">
        <f t="shared" si="0"/>
        <v>8</v>
      </c>
      <c r="C14" t="s">
        <v>81</v>
      </c>
      <c r="D14" t="s">
        <v>4</v>
      </c>
      <c r="E14" t="s">
        <v>82</v>
      </c>
      <c r="F14">
        <v>30</v>
      </c>
      <c r="G14">
        <f>_xlfn.LET(
    _xlpm.pos, B14,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325</v>
      </c>
    </row>
    <row r="15" spans="2:7" x14ac:dyDescent="0.35">
      <c r="B15">
        <f t="shared" si="0"/>
        <v>6</v>
      </c>
      <c r="C15" t="s">
        <v>17</v>
      </c>
      <c r="D15" t="s">
        <v>18</v>
      </c>
      <c r="E15" t="s">
        <v>19</v>
      </c>
      <c r="F15">
        <v>28</v>
      </c>
      <c r="G15">
        <f>_xlfn.LET(
    _xlpm.pos, B15,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362.5</v>
      </c>
    </row>
    <row r="16" spans="2:7" x14ac:dyDescent="0.35">
      <c r="B16">
        <f t="shared" si="0"/>
        <v>6</v>
      </c>
      <c r="C16" t="s">
        <v>26</v>
      </c>
      <c r="D16" t="s">
        <v>4</v>
      </c>
      <c r="E16" t="s">
        <v>27</v>
      </c>
      <c r="F16">
        <v>28</v>
      </c>
      <c r="G16">
        <f>_xlfn.LET(
    _xlpm.pos, B16,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362.5</v>
      </c>
    </row>
    <row r="17" spans="2:7" x14ac:dyDescent="0.35">
      <c r="B17">
        <f t="shared" si="0"/>
        <v>5</v>
      </c>
      <c r="C17" t="s">
        <v>8</v>
      </c>
      <c r="D17" t="s">
        <v>4</v>
      </c>
      <c r="E17" t="s">
        <v>9</v>
      </c>
      <c r="F17">
        <v>26</v>
      </c>
      <c r="G17">
        <f>_xlfn.LET(
    _xlpm.pos, B17,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400</v>
      </c>
    </row>
    <row r="18" spans="2:7" x14ac:dyDescent="0.35">
      <c r="B18">
        <f t="shared" si="0"/>
        <v>9</v>
      </c>
      <c r="C18" t="s">
        <v>89</v>
      </c>
      <c r="D18" t="s">
        <v>4</v>
      </c>
      <c r="E18" t="s">
        <v>90</v>
      </c>
      <c r="F18">
        <v>31</v>
      </c>
      <c r="G18">
        <f>_xlfn.LET(
    _xlpm.pos, B18,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300</v>
      </c>
    </row>
    <row r="19" spans="2:7" x14ac:dyDescent="0.35">
      <c r="B19">
        <f t="shared" si="0"/>
        <v>4</v>
      </c>
      <c r="C19" t="s">
        <v>62</v>
      </c>
      <c r="D19" t="s">
        <v>4</v>
      </c>
      <c r="E19" t="s">
        <v>63</v>
      </c>
      <c r="F19">
        <v>23</v>
      </c>
      <c r="G19">
        <f>_xlfn.LET(
    _xlpm.pos, B19,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425</v>
      </c>
    </row>
    <row r="20" spans="2:7" x14ac:dyDescent="0.35">
      <c r="B20">
        <f t="shared" si="0"/>
        <v>3</v>
      </c>
      <c r="C20" t="s">
        <v>59</v>
      </c>
      <c r="D20" t="s">
        <v>4</v>
      </c>
      <c r="E20" t="s">
        <v>60</v>
      </c>
      <c r="F20">
        <v>21</v>
      </c>
      <c r="G20">
        <f>_xlfn.LET(
    _xlpm.pos, B20,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450</v>
      </c>
    </row>
    <row r="21" spans="2:7" x14ac:dyDescent="0.35">
      <c r="B21">
        <f t="shared" si="0"/>
        <v>2</v>
      </c>
      <c r="C21" t="s">
        <v>74</v>
      </c>
      <c r="D21" t="s">
        <v>4</v>
      </c>
      <c r="E21" t="s">
        <v>53</v>
      </c>
      <c r="F21">
        <v>17</v>
      </c>
      <c r="G21">
        <f>_xlfn.LET(
    _xlpm.pos, B21,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475</v>
      </c>
    </row>
    <row r="22" spans="2:7" x14ac:dyDescent="0.35">
      <c r="B22">
        <f t="shared" si="0"/>
        <v>1</v>
      </c>
      <c r="C22" t="s">
        <v>30</v>
      </c>
      <c r="D22" t="s">
        <v>4</v>
      </c>
      <c r="E22" t="s">
        <v>31</v>
      </c>
      <c r="F22">
        <v>9</v>
      </c>
      <c r="G22">
        <f>_xlfn.LET(
    _xlpm.pos, B22,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500</v>
      </c>
    </row>
  </sheetData>
  <sortState xmlns:xlrd2="http://schemas.microsoft.com/office/spreadsheetml/2017/richdata2" ref="B3:G22">
    <sortCondition ref="G3:G2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AAF0-1B46-4F1F-9C2B-C0D40DBA1008}">
  <dimension ref="B2:G5"/>
  <sheetViews>
    <sheetView workbookViewId="0">
      <selection activeCell="D1" sqref="D1:D1048576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>COUNTIFS($F$3:$F$953,"&lt;"&amp;$F3)+1</f>
        <v>3</v>
      </c>
      <c r="C3" t="s">
        <v>113</v>
      </c>
      <c r="D3" t="s">
        <v>18</v>
      </c>
      <c r="E3" t="s">
        <v>114</v>
      </c>
      <c r="F3">
        <v>187</v>
      </c>
      <c r="G3">
        <f>_xlfn.LET(
    _xlpm.pos, B3,
    _xlpm.count_pos, COUNTIF($B$2:$B$965, _xlpm.pos),
    _xlpm.start_pos, _xlpm.pos,
    _xlpm.end_pos, _xlpm.pos + _xlpm.count_pos - 1,
    _xlpm.points_range, INDEX(Puntuacion!$C$2:$C$1000, _xlpm.start_pos):INDEX(Puntuacion!$C$2:$C$1000, _xlpm.end_pos),
    AVERAGE(_xlpm.points_range)
)</f>
        <v>450</v>
      </c>
    </row>
    <row r="4" spans="2:7" x14ac:dyDescent="0.35">
      <c r="B4">
        <f t="shared" ref="B4:B5" si="0">COUNTIFS($F$3:$F$953,"&lt;"&amp;$F4)+1</f>
        <v>2</v>
      </c>
      <c r="C4" t="s">
        <v>80</v>
      </c>
      <c r="D4" t="s">
        <v>18</v>
      </c>
      <c r="E4" t="s">
        <v>22</v>
      </c>
      <c r="F4">
        <v>58</v>
      </c>
      <c r="G4">
        <f>_xlfn.LET(
    _xlpm.pos, B4,
    _xlpm.count_pos, COUNTIF($B$2:$B$965, _xlpm.pos),
    _xlpm.start_pos, _xlpm.pos,
    _xlpm.end_pos, _xlpm.pos + _xlpm.count_pos - 1,
    _xlpm.points_range, INDEX(Puntuacion!$C$2:$C$1000, _xlpm.start_pos):INDEX(Puntuacion!$C$2:$C$1000, _xlpm.end_pos),
    AVERAGE(_xlpm.points_range)
)</f>
        <v>475</v>
      </c>
    </row>
    <row r="5" spans="2:7" x14ac:dyDescent="0.35">
      <c r="B5">
        <f t="shared" si="0"/>
        <v>1</v>
      </c>
      <c r="C5" t="s">
        <v>17</v>
      </c>
      <c r="D5" t="s">
        <v>18</v>
      </c>
      <c r="E5" t="s">
        <v>19</v>
      </c>
      <c r="F5">
        <v>28</v>
      </c>
      <c r="G5">
        <f>_xlfn.LET(
    _xlpm.pos, B5,
    _xlpm.count_pos, COUNTIF($B$2:$B$965, _xlpm.pos),
    _xlpm.start_pos, _xlpm.pos,
    _xlpm.end_pos, _xlpm.pos + _xlpm.count_pos - 1,
    _xlpm.points_range, INDEX(Puntuacion!$C$2:$C$1000, _xlpm.start_pos):INDEX(Puntuacion!$C$2:$C$1000, _xlpm.end_pos),
    AVERAGE(_xlpm.points_range)
)</f>
        <v>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3918-3E05-422E-A03A-73CD77765448}">
  <dimension ref="B2:G12"/>
  <sheetViews>
    <sheetView workbookViewId="0">
      <selection activeCell="A3" sqref="A3:XFD4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12" si="0">COUNTIFS($F$3:$F$960,"&lt;"&amp;$F3)+1</f>
        <v>10</v>
      </c>
      <c r="C3" t="s">
        <v>85</v>
      </c>
      <c r="D3" t="s">
        <v>4</v>
      </c>
      <c r="E3" t="s">
        <v>86</v>
      </c>
      <c r="F3">
        <v>44</v>
      </c>
      <c r="G3">
        <f>_xlfn.LET(
    _xlpm.pos, B3,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280</v>
      </c>
    </row>
    <row r="4" spans="2:7" x14ac:dyDescent="0.35">
      <c r="B4">
        <f t="shared" si="0"/>
        <v>9</v>
      </c>
      <c r="C4" t="s">
        <v>75</v>
      </c>
      <c r="D4" t="s">
        <v>4</v>
      </c>
      <c r="E4" t="s">
        <v>76</v>
      </c>
      <c r="F4">
        <v>43</v>
      </c>
      <c r="G4">
        <f>_xlfn.LET(
    _xlpm.pos, B4,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300</v>
      </c>
    </row>
    <row r="5" spans="2:7" x14ac:dyDescent="0.35">
      <c r="B5">
        <f t="shared" si="0"/>
        <v>8</v>
      </c>
      <c r="C5" t="s">
        <v>87</v>
      </c>
      <c r="D5" t="s">
        <v>4</v>
      </c>
      <c r="E5" t="s">
        <v>88</v>
      </c>
      <c r="F5">
        <v>42</v>
      </c>
      <c r="G5">
        <f>_xlfn.LET(
    _xlpm.pos, B5,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325</v>
      </c>
    </row>
    <row r="6" spans="2:7" x14ac:dyDescent="0.35">
      <c r="B6">
        <f t="shared" si="0"/>
        <v>6</v>
      </c>
      <c r="C6" t="s">
        <v>14</v>
      </c>
      <c r="D6" t="s">
        <v>4</v>
      </c>
      <c r="E6" t="s">
        <v>98</v>
      </c>
      <c r="F6">
        <v>36</v>
      </c>
      <c r="G6">
        <f>_xlfn.LET(
    _xlpm.pos, B6,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362.5</v>
      </c>
    </row>
    <row r="7" spans="2:7" x14ac:dyDescent="0.35">
      <c r="B7">
        <f t="shared" si="0"/>
        <v>6</v>
      </c>
      <c r="C7" t="s">
        <v>77</v>
      </c>
      <c r="D7" t="s">
        <v>4</v>
      </c>
      <c r="E7" t="s">
        <v>20</v>
      </c>
      <c r="F7">
        <v>36</v>
      </c>
      <c r="G7">
        <f>_xlfn.LET(
    _xlpm.pos, B7,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362.5</v>
      </c>
    </row>
    <row r="8" spans="2:7" x14ac:dyDescent="0.35">
      <c r="B8">
        <f t="shared" si="0"/>
        <v>5</v>
      </c>
      <c r="C8" t="s">
        <v>93</v>
      </c>
      <c r="D8" t="s">
        <v>4</v>
      </c>
      <c r="E8" t="s">
        <v>94</v>
      </c>
      <c r="F8">
        <v>33</v>
      </c>
      <c r="G8">
        <f>_xlfn.LET(
    _xlpm.pos, B8,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400</v>
      </c>
    </row>
    <row r="9" spans="2:7" x14ac:dyDescent="0.35">
      <c r="B9">
        <f t="shared" si="0"/>
        <v>3</v>
      </c>
      <c r="C9" t="s">
        <v>81</v>
      </c>
      <c r="D9" t="s">
        <v>4</v>
      </c>
      <c r="E9" t="s">
        <v>82</v>
      </c>
      <c r="F9">
        <v>30</v>
      </c>
      <c r="G9">
        <f>_xlfn.LET(
    _xlpm.pos, B9,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450</v>
      </c>
    </row>
    <row r="10" spans="2:7" x14ac:dyDescent="0.35">
      <c r="B10">
        <f t="shared" si="0"/>
        <v>2</v>
      </c>
      <c r="C10" t="s">
        <v>8</v>
      </c>
      <c r="D10" t="s">
        <v>4</v>
      </c>
      <c r="E10" t="s">
        <v>9</v>
      </c>
      <c r="F10">
        <v>26</v>
      </c>
      <c r="G10">
        <f>_xlfn.LET(
    _xlpm.pos, B10,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475</v>
      </c>
    </row>
    <row r="11" spans="2:7" x14ac:dyDescent="0.35">
      <c r="B11">
        <f t="shared" si="0"/>
        <v>4</v>
      </c>
      <c r="C11" t="s">
        <v>89</v>
      </c>
      <c r="D11" t="s">
        <v>4</v>
      </c>
      <c r="E11" t="s">
        <v>90</v>
      </c>
      <c r="F11">
        <v>31</v>
      </c>
      <c r="G11">
        <f>_xlfn.LET(
    _xlpm.pos, B11,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425</v>
      </c>
    </row>
    <row r="12" spans="2:7" x14ac:dyDescent="0.35">
      <c r="B12">
        <f t="shared" si="0"/>
        <v>1</v>
      </c>
      <c r="C12" t="s">
        <v>62</v>
      </c>
      <c r="D12" t="s">
        <v>4</v>
      </c>
      <c r="E12" t="s">
        <v>63</v>
      </c>
      <c r="F12">
        <v>23</v>
      </c>
      <c r="G12">
        <f>_xlfn.LET(
    _xlpm.pos, B12,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500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3BD1-1A29-480D-8DDB-3E513383D205}">
  <dimension ref="B2:G8"/>
  <sheetViews>
    <sheetView workbookViewId="0">
      <selection activeCell="C20" sqref="C20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>COUNTIFS($F$3:$F$955,"&lt;"&amp;$F3)+1</f>
        <v>6</v>
      </c>
      <c r="C3" t="s">
        <v>80</v>
      </c>
      <c r="D3" t="s">
        <v>18</v>
      </c>
      <c r="E3" t="s">
        <v>22</v>
      </c>
      <c r="F3">
        <v>58</v>
      </c>
      <c r="G3">
        <f>_xlfn.LET(
    _xlpm.pos, B3,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375</v>
      </c>
    </row>
    <row r="4" spans="2:7" x14ac:dyDescent="0.35">
      <c r="B4">
        <f>COUNTIFS($F$3:$F$955,"&lt;"&amp;$F4)+1</f>
        <v>5</v>
      </c>
      <c r="C4" t="s">
        <v>85</v>
      </c>
      <c r="D4" t="s">
        <v>4</v>
      </c>
      <c r="E4" t="s">
        <v>86</v>
      </c>
      <c r="F4">
        <v>44</v>
      </c>
      <c r="G4">
        <f>_xlfn.LET(
    _xlpm.pos, B4,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400</v>
      </c>
    </row>
    <row r="5" spans="2:7" x14ac:dyDescent="0.35">
      <c r="B5">
        <f>COUNTIFS($F$3:$F$955,"&lt;"&amp;$F5)+1</f>
        <v>4</v>
      </c>
      <c r="C5" t="s">
        <v>87</v>
      </c>
      <c r="D5" t="s">
        <v>4</v>
      </c>
      <c r="E5" t="s">
        <v>88</v>
      </c>
      <c r="F5">
        <v>42</v>
      </c>
      <c r="G5">
        <f>_xlfn.LET(
    _xlpm.pos, B5,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425</v>
      </c>
    </row>
    <row r="6" spans="2:7" x14ac:dyDescent="0.35">
      <c r="B6">
        <f>COUNTIFS($F$3:$F$955,"&lt;"&amp;$F6)+1</f>
        <v>3</v>
      </c>
      <c r="C6" t="s">
        <v>93</v>
      </c>
      <c r="D6" t="s">
        <v>4</v>
      </c>
      <c r="E6" t="s">
        <v>94</v>
      </c>
      <c r="F6">
        <v>33</v>
      </c>
      <c r="G6">
        <f>_xlfn.LET(
    _xlpm.pos, B6,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450</v>
      </c>
    </row>
    <row r="7" spans="2:7" x14ac:dyDescent="0.35">
      <c r="B7">
        <f>COUNTIFS($F$3:$F$955,"&lt;"&amp;$F7)+1</f>
        <v>2</v>
      </c>
      <c r="C7" t="s">
        <v>89</v>
      </c>
      <c r="D7" t="s">
        <v>4</v>
      </c>
      <c r="E7" t="s">
        <v>90</v>
      </c>
      <c r="F7">
        <v>31</v>
      </c>
      <c r="G7">
        <f>_xlfn.LET(
    _xlpm.pos, B7,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475</v>
      </c>
    </row>
    <row r="8" spans="2:7" x14ac:dyDescent="0.35">
      <c r="B8">
        <f>COUNTIFS($F$3:$F$960,"&lt;"&amp;$F8)+1</f>
        <v>1</v>
      </c>
      <c r="C8" t="s">
        <v>81</v>
      </c>
      <c r="D8" t="s">
        <v>4</v>
      </c>
      <c r="E8" t="s">
        <v>82</v>
      </c>
      <c r="F8">
        <v>30</v>
      </c>
      <c r="G8">
        <f>_xlfn.LET(
    _xlpm.pos, B8,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500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B139-E1D4-49E5-9F25-8BE334217980}">
  <dimension ref="B2:G24"/>
  <sheetViews>
    <sheetView workbookViewId="0">
      <selection activeCell="G3" sqref="G3:G24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s="3" t="s">
        <v>3</v>
      </c>
      <c r="G2" s="3" t="s">
        <v>47</v>
      </c>
    </row>
    <row r="3" spans="2:7" x14ac:dyDescent="0.35">
      <c r="B3">
        <f t="shared" ref="B3:B20" si="0">COUNTIFS($F$3:$F$971,"&lt;"&amp;$F3)+1</f>
        <v>22</v>
      </c>
      <c r="C3" t="s">
        <v>105</v>
      </c>
      <c r="D3" t="s">
        <v>4</v>
      </c>
      <c r="E3" t="s">
        <v>106</v>
      </c>
      <c r="F3">
        <v>179</v>
      </c>
      <c r="G3">
        <f>_xlfn.LET(
    _xlpm.pos, B3,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62</v>
      </c>
    </row>
    <row r="4" spans="2:7" x14ac:dyDescent="0.35">
      <c r="B4">
        <f t="shared" si="0"/>
        <v>21</v>
      </c>
      <c r="C4" t="s">
        <v>32</v>
      </c>
      <c r="D4" t="s">
        <v>18</v>
      </c>
      <c r="E4" t="s">
        <v>33</v>
      </c>
      <c r="F4">
        <v>21</v>
      </c>
      <c r="G4">
        <f>_xlfn.LET(
    _xlpm.pos, B4,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66</v>
      </c>
    </row>
    <row r="5" spans="2:7" x14ac:dyDescent="0.35">
      <c r="B5">
        <f t="shared" si="0"/>
        <v>20</v>
      </c>
      <c r="C5" t="s">
        <v>80</v>
      </c>
      <c r="D5" t="s">
        <v>18</v>
      </c>
      <c r="E5" t="s">
        <v>22</v>
      </c>
      <c r="F5">
        <v>18</v>
      </c>
      <c r="G5">
        <f>_xlfn.LET(
    _xlpm.pos, B5,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6" spans="2:7" x14ac:dyDescent="0.35">
      <c r="B6">
        <f t="shared" si="0"/>
        <v>19</v>
      </c>
      <c r="C6" t="s">
        <v>40</v>
      </c>
      <c r="D6" t="s">
        <v>18</v>
      </c>
      <c r="E6" t="s">
        <v>58</v>
      </c>
      <c r="F6">
        <v>17</v>
      </c>
      <c r="G6">
        <f>_xlfn.LET(
    _xlpm.pos, B6,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7" spans="2:7" x14ac:dyDescent="0.35">
      <c r="B7">
        <f t="shared" si="0"/>
        <v>18</v>
      </c>
      <c r="C7" t="s">
        <v>28</v>
      </c>
      <c r="D7" t="s">
        <v>4</v>
      </c>
      <c r="E7" t="s">
        <v>29</v>
      </c>
      <c r="F7">
        <v>16</v>
      </c>
      <c r="G7">
        <f>_xlfn.LET(
    _xlpm.pos, B7,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8" spans="2:7" x14ac:dyDescent="0.35">
      <c r="B8">
        <f t="shared" si="0"/>
        <v>17</v>
      </c>
      <c r="C8" t="s">
        <v>99</v>
      </c>
      <c r="D8" t="s">
        <v>4</v>
      </c>
      <c r="E8" t="s">
        <v>100</v>
      </c>
      <c r="F8">
        <v>15</v>
      </c>
      <c r="G8">
        <f>_xlfn.LET(
    _xlpm.pos, B8,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9" spans="2:7" x14ac:dyDescent="0.35">
      <c r="B9">
        <f t="shared" si="0"/>
        <v>16</v>
      </c>
      <c r="C9" t="s">
        <v>85</v>
      </c>
      <c r="D9" t="s">
        <v>4</v>
      </c>
      <c r="E9" t="s">
        <v>86</v>
      </c>
      <c r="F9">
        <v>13</v>
      </c>
      <c r="G9">
        <f>_xlfn.LET(
    _xlpm.pos, B9,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10" spans="2:7" x14ac:dyDescent="0.35">
      <c r="B10">
        <f t="shared" si="0"/>
        <v>15</v>
      </c>
      <c r="C10" t="s">
        <v>59</v>
      </c>
      <c r="D10" t="s">
        <v>4</v>
      </c>
      <c r="E10" t="s">
        <v>60</v>
      </c>
      <c r="F10">
        <v>8</v>
      </c>
      <c r="G10">
        <f>_xlfn.LET(
    _xlpm.pos, B10,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1" spans="2:7" x14ac:dyDescent="0.35">
      <c r="B11">
        <f t="shared" si="0"/>
        <v>14</v>
      </c>
      <c r="C11" t="s">
        <v>8</v>
      </c>
      <c r="D11" t="s">
        <v>4</v>
      </c>
      <c r="E11" t="s">
        <v>9</v>
      </c>
      <c r="F11">
        <v>7</v>
      </c>
      <c r="G11">
        <f>_xlfn.LET(
    _xlpm.pos, B11,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2" spans="2:7" x14ac:dyDescent="0.35">
      <c r="B12">
        <f t="shared" si="0"/>
        <v>13</v>
      </c>
      <c r="C12" t="s">
        <v>87</v>
      </c>
      <c r="D12" t="s">
        <v>4</v>
      </c>
      <c r="E12" t="s">
        <v>88</v>
      </c>
      <c r="F12">
        <v>5</v>
      </c>
      <c r="G12">
        <f>_xlfn.LET(
    _xlpm.pos, B12,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13" spans="2:7" x14ac:dyDescent="0.35">
      <c r="B13">
        <f t="shared" si="0"/>
        <v>12</v>
      </c>
      <c r="C13" t="s">
        <v>107</v>
      </c>
      <c r="D13" t="s">
        <v>108</v>
      </c>
      <c r="E13" t="s">
        <v>109</v>
      </c>
      <c r="F13">
        <v>4</v>
      </c>
      <c r="G13">
        <f>_xlfn.LET(
    _xlpm.pos, B13,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4" spans="2:7" x14ac:dyDescent="0.35">
      <c r="B14">
        <f t="shared" si="0"/>
        <v>11</v>
      </c>
      <c r="C14" t="s">
        <v>14</v>
      </c>
      <c r="D14" t="s">
        <v>4</v>
      </c>
      <c r="E14" t="s">
        <v>98</v>
      </c>
      <c r="F14">
        <v>3</v>
      </c>
      <c r="G14">
        <f>_xlfn.LET(
    _xlpm.pos, B14,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5" spans="2:7" x14ac:dyDescent="0.35">
      <c r="B15">
        <f t="shared" si="0"/>
        <v>10</v>
      </c>
      <c r="C15" t="s">
        <v>93</v>
      </c>
      <c r="D15" t="s">
        <v>4</v>
      </c>
      <c r="E15" t="s">
        <v>94</v>
      </c>
      <c r="F15">
        <v>2</v>
      </c>
      <c r="G15">
        <f>_xlfn.LET(
    _xlpm.pos, B15,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6" spans="2:7" x14ac:dyDescent="0.35">
      <c r="B16">
        <f t="shared" si="0"/>
        <v>8</v>
      </c>
      <c r="C16" t="s">
        <v>74</v>
      </c>
      <c r="D16" t="s">
        <v>4</v>
      </c>
      <c r="E16" t="s">
        <v>53</v>
      </c>
      <c r="F16">
        <v>1</v>
      </c>
      <c r="G16">
        <f>_xlfn.LET(
    _xlpm.pos, B16,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7" spans="2:7" x14ac:dyDescent="0.35">
      <c r="B17">
        <f t="shared" si="0"/>
        <v>8</v>
      </c>
      <c r="C17" t="s">
        <v>89</v>
      </c>
      <c r="D17" t="s">
        <v>4</v>
      </c>
      <c r="E17" t="s">
        <v>90</v>
      </c>
      <c r="F17">
        <v>1</v>
      </c>
      <c r="G17">
        <f>_xlfn.LET(
    _xlpm.pos, B17,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8" spans="2:7" x14ac:dyDescent="0.35">
      <c r="B18">
        <f t="shared" si="0"/>
        <v>7</v>
      </c>
      <c r="C18" t="s">
        <v>103</v>
      </c>
      <c r="D18" t="s">
        <v>4</v>
      </c>
      <c r="E18" t="s">
        <v>104</v>
      </c>
      <c r="F18">
        <v>0</v>
      </c>
      <c r="G18">
        <f>_xlfn.LET(
    _xlpm.pos, B18,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9" spans="2:7" x14ac:dyDescent="0.35">
      <c r="B19">
        <f t="shared" si="0"/>
        <v>5</v>
      </c>
      <c r="C19" t="s">
        <v>10</v>
      </c>
      <c r="D19" t="s">
        <v>4</v>
      </c>
      <c r="E19" t="s">
        <v>11</v>
      </c>
      <c r="F19">
        <v>-1</v>
      </c>
      <c r="G19">
        <f>_xlfn.LET(
    _xlpm.pos, B19,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20" spans="2:7" x14ac:dyDescent="0.35">
      <c r="B20">
        <f t="shared" si="0"/>
        <v>5</v>
      </c>
      <c r="C20" t="s">
        <v>56</v>
      </c>
      <c r="D20" t="s">
        <v>18</v>
      </c>
      <c r="E20" t="s">
        <v>57</v>
      </c>
      <c r="F20">
        <v>-1</v>
      </c>
      <c r="G20">
        <f>_xlfn.LET(
    _xlpm.pos, B20,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21" spans="2:7" x14ac:dyDescent="0.35">
      <c r="B21">
        <v>4</v>
      </c>
      <c r="C21" t="s">
        <v>77</v>
      </c>
      <c r="D21" t="s">
        <v>4</v>
      </c>
      <c r="E21" t="s">
        <v>20</v>
      </c>
      <c r="F21">
        <v>-2</v>
      </c>
      <c r="G21">
        <f>_xlfn.LET(
    _xlpm.pos, B21,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22" spans="2:7" x14ac:dyDescent="0.35">
      <c r="B22">
        <f>COUNTIFS($F$3:$F$971,"&lt;"&amp;$F22)+1</f>
        <v>3</v>
      </c>
      <c r="C22" t="s">
        <v>62</v>
      </c>
      <c r="D22" t="s">
        <v>4</v>
      </c>
      <c r="E22" t="s">
        <v>63</v>
      </c>
      <c r="F22">
        <v>-2</v>
      </c>
      <c r="G22">
        <f>_xlfn.LET(
    _xlpm.pos, B22,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23" spans="2:7" x14ac:dyDescent="0.35">
      <c r="B23">
        <f>COUNTIFS($F$3:$F$971,"&lt;"&amp;$F23)+1</f>
        <v>2</v>
      </c>
      <c r="C23" t="s">
        <v>75</v>
      </c>
      <c r="D23" t="s">
        <v>4</v>
      </c>
      <c r="E23" t="s">
        <v>76</v>
      </c>
      <c r="F23">
        <v>-7</v>
      </c>
      <c r="G23">
        <f>_xlfn.LET(
    _xlpm.pos, B23,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24" spans="2:7" x14ac:dyDescent="0.35">
      <c r="B24">
        <f>COUNTIFS($F$3:$F$971,"&lt;"&amp;$F24)+1</f>
        <v>1</v>
      </c>
      <c r="C24" t="s">
        <v>30</v>
      </c>
      <c r="D24" t="s">
        <v>4</v>
      </c>
      <c r="E24" t="s">
        <v>31</v>
      </c>
      <c r="F24">
        <v>-8</v>
      </c>
      <c r="G24">
        <f>_xlfn.LET(
    _xlpm.pos, B24,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sortState xmlns:xlrd2="http://schemas.microsoft.com/office/spreadsheetml/2017/richdata2" ref="B3:G24">
    <sortCondition descending="1" ref="B2:B24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6A85-C78C-430A-9DB3-896ED0CA0B2E}">
  <dimension ref="B2:G6"/>
  <sheetViews>
    <sheetView workbookViewId="0">
      <selection activeCell="C16" sqref="C16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s="3" t="s">
        <v>3</v>
      </c>
      <c r="G2" s="3" t="s">
        <v>47</v>
      </c>
    </row>
    <row r="3" spans="2:7" x14ac:dyDescent="0.35">
      <c r="B3">
        <f>COUNTIFS($F$3:$F$953,"&lt;"&amp;$F3)+1</f>
        <v>4</v>
      </c>
      <c r="C3" t="s">
        <v>32</v>
      </c>
      <c r="D3" t="s">
        <v>18</v>
      </c>
      <c r="E3" t="s">
        <v>33</v>
      </c>
      <c r="F3">
        <v>21</v>
      </c>
      <c r="G3">
        <f>_xlfn.LET(
    _xlpm.pos, B3,
    _xlpm.count_pos, COUNTIF($B$2:$B$964,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4" spans="2:7" x14ac:dyDescent="0.35">
      <c r="B4">
        <f>COUNTIFS($F$3:$F$953,"&lt;"&amp;$F4)+1</f>
        <v>3</v>
      </c>
      <c r="C4" t="s">
        <v>80</v>
      </c>
      <c r="D4" t="s">
        <v>18</v>
      </c>
      <c r="E4" t="s">
        <v>22</v>
      </c>
      <c r="F4">
        <v>18</v>
      </c>
      <c r="G4">
        <f>_xlfn.LET(
    _xlpm.pos, B4,
    _xlpm.count_pos, COUNTIF($B$2:$B$964,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5" spans="2:7" x14ac:dyDescent="0.35">
      <c r="B5">
        <f>COUNTIFS($F$3:$F$953,"&lt;"&amp;$F5)+1</f>
        <v>2</v>
      </c>
      <c r="C5" t="s">
        <v>40</v>
      </c>
      <c r="D5" t="s">
        <v>18</v>
      </c>
      <c r="E5" t="s">
        <v>58</v>
      </c>
      <c r="F5">
        <v>17</v>
      </c>
      <c r="G5">
        <f>_xlfn.LET(
    _xlpm.pos, B5,
    _xlpm.count_pos, COUNTIF($B$2:$B$964,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6" spans="2:7" x14ac:dyDescent="0.35">
      <c r="B6">
        <f>COUNTIFS($F$3:$F$953,"&lt;"&amp;$F6)+1</f>
        <v>1</v>
      </c>
      <c r="C6" t="s">
        <v>56</v>
      </c>
      <c r="D6" t="s">
        <v>18</v>
      </c>
      <c r="E6" t="s">
        <v>57</v>
      </c>
      <c r="F6">
        <v>-1</v>
      </c>
      <c r="G6">
        <f>_xlfn.LET(
    _xlpm.pos, B6,
    _xlpm.count_pos, COUNTIF($B$2:$B$964,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3989-E156-4B75-B31B-7802C7C0EA40}">
  <dimension ref="B2:G15"/>
  <sheetViews>
    <sheetView workbookViewId="0">
      <selection activeCell="E40" sqref="E40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s="3" t="s">
        <v>3</v>
      </c>
      <c r="G2" s="3" t="s">
        <v>47</v>
      </c>
    </row>
    <row r="3" spans="2:7" x14ac:dyDescent="0.35">
      <c r="B3">
        <f t="shared" ref="B3:B12" si="0">COUNTIFS($F$3:$F$962,"&lt;"&amp;$F3)+1</f>
        <v>13</v>
      </c>
      <c r="C3" t="s">
        <v>105</v>
      </c>
      <c r="D3" t="s">
        <v>4</v>
      </c>
      <c r="E3" t="s">
        <v>106</v>
      </c>
      <c r="F3">
        <v>179</v>
      </c>
      <c r="G3">
        <f>_xlfn.LET(
    _xlpm.pos, B3,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4" spans="2:7" x14ac:dyDescent="0.35">
      <c r="B4">
        <f t="shared" si="0"/>
        <v>12</v>
      </c>
      <c r="C4" t="s">
        <v>40</v>
      </c>
      <c r="D4" t="s">
        <v>18</v>
      </c>
      <c r="E4" t="s">
        <v>58</v>
      </c>
      <c r="F4">
        <v>17</v>
      </c>
      <c r="G4">
        <f>_xlfn.LET(
    _xlpm.pos, B4,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5" spans="2:7" x14ac:dyDescent="0.35">
      <c r="B5">
        <f t="shared" si="0"/>
        <v>11</v>
      </c>
      <c r="C5" t="s">
        <v>99</v>
      </c>
      <c r="D5" t="s">
        <v>4</v>
      </c>
      <c r="E5" t="s">
        <v>100</v>
      </c>
      <c r="F5">
        <v>15</v>
      </c>
      <c r="G5">
        <f>_xlfn.LET(
    _xlpm.pos, B5,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6" spans="2:7" x14ac:dyDescent="0.35">
      <c r="B6">
        <f t="shared" si="0"/>
        <v>10</v>
      </c>
      <c r="C6" t="s">
        <v>85</v>
      </c>
      <c r="D6" t="s">
        <v>4</v>
      </c>
      <c r="E6" t="s">
        <v>86</v>
      </c>
      <c r="F6">
        <v>13</v>
      </c>
      <c r="G6">
        <f>_xlfn.LET(
    _xlpm.pos, B6,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7" spans="2:7" x14ac:dyDescent="0.35">
      <c r="B7">
        <f t="shared" si="0"/>
        <v>9</v>
      </c>
      <c r="C7" t="s">
        <v>8</v>
      </c>
      <c r="D7" t="s">
        <v>4</v>
      </c>
      <c r="E7" t="s">
        <v>9</v>
      </c>
      <c r="F7">
        <v>7</v>
      </c>
      <c r="G7">
        <f>_xlfn.LET(
    _xlpm.pos, B7,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8" spans="2:7" x14ac:dyDescent="0.35">
      <c r="B8">
        <f t="shared" si="0"/>
        <v>8</v>
      </c>
      <c r="C8" t="s">
        <v>87</v>
      </c>
      <c r="D8" t="s">
        <v>4</v>
      </c>
      <c r="E8" t="s">
        <v>88</v>
      </c>
      <c r="F8">
        <v>5</v>
      </c>
      <c r="G8">
        <f>_xlfn.LET(
    _xlpm.pos, B8,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9" spans="2:7" x14ac:dyDescent="0.35">
      <c r="B9">
        <f t="shared" si="0"/>
        <v>7</v>
      </c>
      <c r="C9" t="s">
        <v>14</v>
      </c>
      <c r="D9" t="s">
        <v>4</v>
      </c>
      <c r="E9" t="s">
        <v>98</v>
      </c>
      <c r="F9">
        <v>3</v>
      </c>
      <c r="G9">
        <f>_xlfn.LET(
    _xlpm.pos, B9,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6</v>
      </c>
      <c r="C10" t="s">
        <v>93</v>
      </c>
      <c r="D10" t="s">
        <v>4</v>
      </c>
      <c r="E10" t="s">
        <v>94</v>
      </c>
      <c r="F10">
        <v>2</v>
      </c>
      <c r="G10">
        <f>_xlfn.LET(
    _xlpm.pos, B10,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1" spans="2:7" x14ac:dyDescent="0.35">
      <c r="B11">
        <f t="shared" si="0"/>
        <v>5</v>
      </c>
      <c r="C11" t="s">
        <v>89</v>
      </c>
      <c r="D11" t="s">
        <v>4</v>
      </c>
      <c r="E11" t="s">
        <v>90</v>
      </c>
      <c r="F11">
        <v>1</v>
      </c>
      <c r="G11">
        <f>_xlfn.LET(
    _xlpm.pos, B11,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12" spans="2:7" x14ac:dyDescent="0.35">
      <c r="B12">
        <f t="shared" si="0"/>
        <v>4</v>
      </c>
      <c r="C12" t="s">
        <v>103</v>
      </c>
      <c r="D12" t="s">
        <v>4</v>
      </c>
      <c r="E12" t="s">
        <v>104</v>
      </c>
      <c r="F12">
        <v>0</v>
      </c>
      <c r="G12">
        <f>_xlfn.LET(
    _xlpm.pos, B12,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3" spans="2:7" x14ac:dyDescent="0.35">
      <c r="B13">
        <v>3</v>
      </c>
      <c r="C13" t="s">
        <v>77</v>
      </c>
      <c r="D13" t="s">
        <v>4</v>
      </c>
      <c r="E13" t="s">
        <v>20</v>
      </c>
      <c r="F13">
        <v>-2</v>
      </c>
      <c r="G13">
        <f>_xlfn.LET(
    _xlpm.pos, B13,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4" spans="2:7" x14ac:dyDescent="0.35">
      <c r="B14">
        <f>COUNTIFS($F$3:$F$962,"&lt;"&amp;$F14)+1</f>
        <v>2</v>
      </c>
      <c r="C14" t="s">
        <v>62</v>
      </c>
      <c r="D14" t="s">
        <v>4</v>
      </c>
      <c r="E14" t="s">
        <v>63</v>
      </c>
      <c r="F14">
        <v>-2</v>
      </c>
      <c r="G14">
        <f>_xlfn.LET(
    _xlpm.pos, B14,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5" spans="2:7" x14ac:dyDescent="0.35">
      <c r="B15">
        <f>COUNTIFS($F$3:$F$962,"&lt;"&amp;$F15)+1</f>
        <v>1</v>
      </c>
      <c r="C15" t="s">
        <v>75</v>
      </c>
      <c r="D15" t="s">
        <v>4</v>
      </c>
      <c r="E15" t="s">
        <v>76</v>
      </c>
      <c r="F15">
        <v>-7</v>
      </c>
      <c r="G15">
        <f>_xlfn.LET(
    _xlpm.pos, B15,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0A70-CEA9-4AD9-8D77-36E5C36CD3B1}">
  <dimension ref="B2:G12"/>
  <sheetViews>
    <sheetView workbookViewId="0">
      <selection activeCell="E9" sqref="E9:E10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s="3" t="s">
        <v>3</v>
      </c>
      <c r="G2" s="3" t="s">
        <v>47</v>
      </c>
    </row>
    <row r="3" spans="2:7" x14ac:dyDescent="0.35">
      <c r="B3">
        <f t="shared" ref="B3:B12" si="0">COUNTIFS($F$3:$F$959,"&lt;"&amp;$F3)+1</f>
        <v>10</v>
      </c>
      <c r="C3" t="s">
        <v>105</v>
      </c>
      <c r="D3" t="s">
        <v>4</v>
      </c>
      <c r="E3" t="s">
        <v>106</v>
      </c>
      <c r="F3">
        <v>179</v>
      </c>
      <c r="G3">
        <f>_xlfn.LET(
    _xlpm.pos, B3,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4" spans="2:7" x14ac:dyDescent="0.35">
      <c r="B4">
        <f t="shared" si="0"/>
        <v>9</v>
      </c>
      <c r="C4" t="s">
        <v>32</v>
      </c>
      <c r="D4" t="s">
        <v>18</v>
      </c>
      <c r="E4" t="s">
        <v>33</v>
      </c>
      <c r="F4">
        <v>21</v>
      </c>
      <c r="G4">
        <f>_xlfn.LET(
    _xlpm.pos, B4,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5" spans="2:7" x14ac:dyDescent="0.35">
      <c r="B5">
        <f t="shared" si="0"/>
        <v>8</v>
      </c>
      <c r="C5" t="s">
        <v>80</v>
      </c>
      <c r="D5" t="s">
        <v>18</v>
      </c>
      <c r="E5" t="s">
        <v>22</v>
      </c>
      <c r="F5">
        <v>18</v>
      </c>
      <c r="G5">
        <f>_xlfn.LET(
    _xlpm.pos, B5,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6" spans="2:7" x14ac:dyDescent="0.35">
      <c r="B6">
        <f t="shared" si="0"/>
        <v>7</v>
      </c>
      <c r="C6" t="s">
        <v>99</v>
      </c>
      <c r="D6" t="s">
        <v>4</v>
      </c>
      <c r="E6" t="s">
        <v>100</v>
      </c>
      <c r="F6">
        <v>15</v>
      </c>
      <c r="G6">
        <f>_xlfn.LET(
    _xlpm.pos, B6,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7" spans="2:7" x14ac:dyDescent="0.35">
      <c r="B7">
        <f t="shared" si="0"/>
        <v>6</v>
      </c>
      <c r="C7" t="s">
        <v>85</v>
      </c>
      <c r="D7" t="s">
        <v>4</v>
      </c>
      <c r="E7" t="s">
        <v>86</v>
      </c>
      <c r="F7">
        <v>13</v>
      </c>
      <c r="G7">
        <f>_xlfn.LET(
    _xlpm.pos, B7,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8" spans="2:7" x14ac:dyDescent="0.35">
      <c r="B8">
        <f t="shared" si="0"/>
        <v>5</v>
      </c>
      <c r="C8" t="s">
        <v>87</v>
      </c>
      <c r="D8" t="s">
        <v>4</v>
      </c>
      <c r="E8" t="s">
        <v>88</v>
      </c>
      <c r="F8">
        <v>5</v>
      </c>
      <c r="G8">
        <f>_xlfn.LET(
    _xlpm.pos, B8,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9" spans="2:7" x14ac:dyDescent="0.35">
      <c r="B9">
        <f t="shared" si="0"/>
        <v>4</v>
      </c>
      <c r="C9" t="s">
        <v>107</v>
      </c>
      <c r="D9" t="s">
        <v>108</v>
      </c>
      <c r="E9" s="4" t="s">
        <v>109</v>
      </c>
      <c r="F9">
        <v>4</v>
      </c>
      <c r="G9">
        <f>_xlfn.LET(
    _xlpm.pos, B9,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0" spans="2:7" x14ac:dyDescent="0.35">
      <c r="B10">
        <f t="shared" si="0"/>
        <v>3</v>
      </c>
      <c r="C10" t="s">
        <v>93</v>
      </c>
      <c r="D10" t="s">
        <v>4</v>
      </c>
      <c r="E10" s="4" t="s">
        <v>94</v>
      </c>
      <c r="F10">
        <v>2</v>
      </c>
      <c r="G10">
        <f>_xlfn.LET(
    _xlpm.pos, B10,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1" spans="2:7" x14ac:dyDescent="0.35">
      <c r="B11">
        <f t="shared" si="0"/>
        <v>2</v>
      </c>
      <c r="C11" t="s">
        <v>89</v>
      </c>
      <c r="D11" t="s">
        <v>4</v>
      </c>
      <c r="E11" t="s">
        <v>90</v>
      </c>
      <c r="F11">
        <v>1</v>
      </c>
      <c r="G11">
        <f>_xlfn.LET(
    _xlpm.pos, B11,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2" spans="2:7" x14ac:dyDescent="0.35">
      <c r="B12">
        <f t="shared" si="0"/>
        <v>1</v>
      </c>
      <c r="C12" t="s">
        <v>103</v>
      </c>
      <c r="D12" t="s">
        <v>4</v>
      </c>
      <c r="E12" t="s">
        <v>104</v>
      </c>
      <c r="F12">
        <v>0</v>
      </c>
      <c r="G12">
        <f>_xlfn.LET(
    _xlpm.pos, B12,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EC78-BB57-429C-80F2-1C7005A5A044}">
  <dimension ref="B2:G27"/>
  <sheetViews>
    <sheetView workbookViewId="0">
      <selection activeCell="F2" sqref="F2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3" si="0">COUNTIFS($F$3:$F$978,"&lt;"&amp;$F3)+1</f>
        <v>13</v>
      </c>
      <c r="C3" t="s">
        <v>6</v>
      </c>
      <c r="D3" t="s">
        <v>4</v>
      </c>
      <c r="E3" t="s">
        <v>7</v>
      </c>
      <c r="F3">
        <v>5</v>
      </c>
      <c r="G3">
        <f>_xlfn.LET(
    _xlpm.pos, B3,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101.66666666666667</v>
      </c>
    </row>
    <row r="4" spans="2:7" x14ac:dyDescent="0.35">
      <c r="B4">
        <f t="shared" si="0"/>
        <v>6</v>
      </c>
      <c r="C4" t="s">
        <v>8</v>
      </c>
      <c r="D4" t="s">
        <v>4</v>
      </c>
      <c r="E4" t="s">
        <v>9</v>
      </c>
      <c r="F4">
        <v>0</v>
      </c>
      <c r="G4">
        <f>_xlfn.LET(
    _xlpm.pos, B4,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5" spans="2:7" x14ac:dyDescent="0.35">
      <c r="B5">
        <f t="shared" si="0"/>
        <v>13</v>
      </c>
      <c r="C5" t="s">
        <v>96</v>
      </c>
      <c r="D5" t="s">
        <v>4</v>
      </c>
      <c r="E5" s="11" t="s">
        <v>97</v>
      </c>
      <c r="F5">
        <v>5</v>
      </c>
      <c r="G5">
        <f>_xlfn.LET(
    _xlpm.pos, B5,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101.66666666666667</v>
      </c>
    </row>
    <row r="6" spans="2:7" x14ac:dyDescent="0.35">
      <c r="B6">
        <f t="shared" si="0"/>
        <v>24</v>
      </c>
      <c r="C6" t="s">
        <v>78</v>
      </c>
      <c r="D6" t="s">
        <v>4</v>
      </c>
      <c r="E6" t="s">
        <v>79</v>
      </c>
      <c r="F6">
        <v>22</v>
      </c>
      <c r="G6">
        <f>_xlfn.LET(
    _xlpm.pos, B6,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54</v>
      </c>
    </row>
    <row r="7" spans="2:7" x14ac:dyDescent="0.35">
      <c r="B7">
        <f t="shared" si="0"/>
        <v>2</v>
      </c>
      <c r="C7" t="s">
        <v>10</v>
      </c>
      <c r="D7" t="s">
        <v>4</v>
      </c>
      <c r="E7" t="s">
        <v>11</v>
      </c>
      <c r="F7">
        <v>-6</v>
      </c>
      <c r="G7">
        <f>_xlfn.LET(
    _xlpm.pos, B7,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8" spans="2:7" x14ac:dyDescent="0.35">
      <c r="B8">
        <f t="shared" si="0"/>
        <v>4</v>
      </c>
      <c r="C8" t="s">
        <v>14</v>
      </c>
      <c r="D8" t="s">
        <v>4</v>
      </c>
      <c r="E8" t="s">
        <v>98</v>
      </c>
      <c r="F8">
        <v>-3</v>
      </c>
      <c r="G8">
        <f>_xlfn.LET(
    _xlpm.pos, B8,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9" spans="2:7" x14ac:dyDescent="0.35">
      <c r="B9">
        <f t="shared" si="0"/>
        <v>1</v>
      </c>
      <c r="C9" t="s">
        <v>74</v>
      </c>
      <c r="D9" t="s">
        <v>4</v>
      </c>
      <c r="E9" t="s">
        <v>53</v>
      </c>
      <c r="F9">
        <v>-7</v>
      </c>
      <c r="G9">
        <f>_xlfn.LET(
    _xlpm.pos, B9,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10" spans="2:7" x14ac:dyDescent="0.35">
      <c r="B10">
        <f t="shared" si="0"/>
        <v>17</v>
      </c>
      <c r="C10" t="s">
        <v>93</v>
      </c>
      <c r="D10" t="s">
        <v>4</v>
      </c>
      <c r="E10" t="s">
        <v>94</v>
      </c>
      <c r="F10">
        <v>7</v>
      </c>
      <c r="G10">
        <f>_xlfn.LET(
    _xlpm.pos, B10,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11" spans="2:7" x14ac:dyDescent="0.35">
      <c r="B11">
        <f t="shared" si="0"/>
        <v>21</v>
      </c>
      <c r="C11" t="s">
        <v>99</v>
      </c>
      <c r="D11" t="s">
        <v>4</v>
      </c>
      <c r="E11" s="11" t="s">
        <v>100</v>
      </c>
      <c r="F11">
        <v>16</v>
      </c>
      <c r="G11">
        <f>_xlfn.LET(
    _xlpm.pos, B11,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66</v>
      </c>
    </row>
    <row r="12" spans="2:7" x14ac:dyDescent="0.35">
      <c r="B12">
        <f t="shared" si="0"/>
        <v>25</v>
      </c>
      <c r="C12" t="s">
        <v>101</v>
      </c>
      <c r="D12" t="s">
        <v>4</v>
      </c>
      <c r="E12" s="11" t="s">
        <v>102</v>
      </c>
      <c r="F12">
        <v>25</v>
      </c>
      <c r="G12">
        <f>_xlfn.LET(
    _xlpm.pos, B12,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50</v>
      </c>
    </row>
    <row r="13" spans="2:7" x14ac:dyDescent="0.35">
      <c r="B13">
        <f t="shared" si="0"/>
        <v>10</v>
      </c>
      <c r="C13" t="s">
        <v>75</v>
      </c>
      <c r="D13" t="s">
        <v>4</v>
      </c>
      <c r="E13" t="s">
        <v>76</v>
      </c>
      <c r="F13">
        <v>2</v>
      </c>
      <c r="G13">
        <f>_xlfn.LET(
    _xlpm.pos, B13,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4" spans="2:7" x14ac:dyDescent="0.35">
      <c r="B14">
        <v>4</v>
      </c>
      <c r="C14" t="s">
        <v>77</v>
      </c>
      <c r="D14" t="s">
        <v>4</v>
      </c>
      <c r="E14" t="s">
        <v>20</v>
      </c>
      <c r="F14">
        <v>-2</v>
      </c>
      <c r="G14">
        <f>_xlfn.LET(
    _xlpm.pos, B14,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15" spans="2:7" x14ac:dyDescent="0.35">
      <c r="B15">
        <f t="shared" ref="B15:B27" si="1">COUNTIFS($F$3:$F$978,"&lt;"&amp;$F15)+1</f>
        <v>19</v>
      </c>
      <c r="C15" t="s">
        <v>80</v>
      </c>
      <c r="D15" t="s">
        <v>18</v>
      </c>
      <c r="E15" t="s">
        <v>22</v>
      </c>
      <c r="F15">
        <v>10</v>
      </c>
      <c r="G15">
        <f>_xlfn.LET(
    _xlpm.pos, B15,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16" spans="2:7" x14ac:dyDescent="0.35">
      <c r="B16">
        <f t="shared" si="1"/>
        <v>8</v>
      </c>
      <c r="C16" t="s">
        <v>103</v>
      </c>
      <c r="D16" t="s">
        <v>4</v>
      </c>
      <c r="E16" s="11" t="s">
        <v>104</v>
      </c>
      <c r="F16">
        <v>1</v>
      </c>
      <c r="G16">
        <f>_xlfn.LET(
    _xlpm.pos, B16,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7" spans="2:7" x14ac:dyDescent="0.35">
      <c r="B17">
        <f t="shared" si="1"/>
        <v>12</v>
      </c>
      <c r="C17" t="s">
        <v>81</v>
      </c>
      <c r="D17" t="s">
        <v>4</v>
      </c>
      <c r="E17" t="s">
        <v>82</v>
      </c>
      <c r="F17">
        <v>4</v>
      </c>
      <c r="G17">
        <f>_xlfn.LET(
    _xlpm.pos, B17,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8" spans="2:7" x14ac:dyDescent="0.35">
      <c r="B18">
        <f t="shared" si="1"/>
        <v>22</v>
      </c>
      <c r="C18" t="s">
        <v>105</v>
      </c>
      <c r="D18" t="s">
        <v>4</v>
      </c>
      <c r="E18" s="11" t="s">
        <v>106</v>
      </c>
      <c r="F18">
        <v>17</v>
      </c>
      <c r="G18">
        <f>_xlfn.LET(
    _xlpm.pos, B18,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60</v>
      </c>
    </row>
    <row r="19" spans="2:7" x14ac:dyDescent="0.35">
      <c r="B19">
        <f t="shared" si="1"/>
        <v>8</v>
      </c>
      <c r="C19" t="s">
        <v>26</v>
      </c>
      <c r="D19" t="s">
        <v>4</v>
      </c>
      <c r="E19" t="s">
        <v>27</v>
      </c>
      <c r="F19">
        <v>1</v>
      </c>
      <c r="G19">
        <f>_xlfn.LET(
    _xlpm.pos, B19,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20" spans="2:7" x14ac:dyDescent="0.35">
      <c r="B20">
        <f t="shared" si="1"/>
        <v>13</v>
      </c>
      <c r="C20" t="s">
        <v>28</v>
      </c>
      <c r="D20" t="s">
        <v>4</v>
      </c>
      <c r="E20" t="s">
        <v>29</v>
      </c>
      <c r="F20">
        <v>5</v>
      </c>
      <c r="G20">
        <f>_xlfn.LET(
    _xlpm.pos, B20,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101.66666666666667</v>
      </c>
    </row>
    <row r="21" spans="2:7" x14ac:dyDescent="0.35">
      <c r="B21">
        <f t="shared" si="1"/>
        <v>6</v>
      </c>
      <c r="C21" t="s">
        <v>30</v>
      </c>
      <c r="D21" t="s">
        <v>4</v>
      </c>
      <c r="E21" t="s">
        <v>31</v>
      </c>
      <c r="F21">
        <v>0</v>
      </c>
      <c r="G21">
        <f>_xlfn.LET(
    _xlpm.pos, B21,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22" spans="2:7" x14ac:dyDescent="0.35">
      <c r="B22">
        <f t="shared" si="1"/>
        <v>22</v>
      </c>
      <c r="C22" t="s">
        <v>32</v>
      </c>
      <c r="D22" t="s">
        <v>18</v>
      </c>
      <c r="E22" t="s">
        <v>33</v>
      </c>
      <c r="F22">
        <v>17</v>
      </c>
      <c r="G22">
        <f>_xlfn.LET(
    _xlpm.pos, B22,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60</v>
      </c>
    </row>
    <row r="23" spans="2:7" x14ac:dyDescent="0.35">
      <c r="B23">
        <f t="shared" si="1"/>
        <v>18</v>
      </c>
      <c r="C23" t="s">
        <v>34</v>
      </c>
      <c r="D23" t="s">
        <v>4</v>
      </c>
      <c r="E23" t="s">
        <v>35</v>
      </c>
      <c r="F23">
        <v>8</v>
      </c>
      <c r="G23">
        <f>_xlfn.LET(
    _xlpm.pos, B23,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24" spans="2:7" x14ac:dyDescent="0.35">
      <c r="B24">
        <f t="shared" si="1"/>
        <v>20</v>
      </c>
      <c r="C24" t="s">
        <v>85</v>
      </c>
      <c r="D24" t="s">
        <v>4</v>
      </c>
      <c r="E24" t="s">
        <v>86</v>
      </c>
      <c r="F24">
        <v>11</v>
      </c>
      <c r="G24">
        <f>_xlfn.LET(
    _xlpm.pos, B24,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25" spans="2:7" x14ac:dyDescent="0.35">
      <c r="B25">
        <f t="shared" si="1"/>
        <v>11</v>
      </c>
      <c r="C25" t="s">
        <v>87</v>
      </c>
      <c r="D25" t="s">
        <v>4</v>
      </c>
      <c r="E25" t="s">
        <v>88</v>
      </c>
      <c r="F25">
        <v>3</v>
      </c>
      <c r="G25">
        <f>_xlfn.LET(
    _xlpm.pos, B25,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26" spans="2:7" x14ac:dyDescent="0.35">
      <c r="B26">
        <f t="shared" si="1"/>
        <v>16</v>
      </c>
      <c r="C26" t="s">
        <v>89</v>
      </c>
      <c r="D26" t="s">
        <v>4</v>
      </c>
      <c r="E26" t="s">
        <v>90</v>
      </c>
      <c r="F26">
        <v>6</v>
      </c>
      <c r="G26">
        <f>_xlfn.LET(
    _xlpm.pos, B26,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27" spans="2:7" x14ac:dyDescent="0.35">
      <c r="B27">
        <f t="shared" si="1"/>
        <v>3</v>
      </c>
      <c r="C27" t="s">
        <v>62</v>
      </c>
      <c r="D27" t="s">
        <v>4</v>
      </c>
      <c r="E27" t="s">
        <v>63</v>
      </c>
      <c r="F27">
        <v>-4</v>
      </c>
      <c r="G27">
        <f>_xlfn.LET(
    _xlpm.pos, B27,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B347-2E02-4FC6-BA2A-8B7FB7914DAA}">
  <dimension ref="B2:G4"/>
  <sheetViews>
    <sheetView workbookViewId="0">
      <selection activeCell="A23" activeCellId="2" sqref="A3:XFD14 A16:XFD21 A23:XFD27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COUNTIFS($F$3:$F$955,"&lt;"&amp;$F3)+1</f>
        <v>1</v>
      </c>
      <c r="C3" t="s">
        <v>80</v>
      </c>
      <c r="D3" t="s">
        <v>18</v>
      </c>
      <c r="E3" t="s">
        <v>22</v>
      </c>
      <c r="F3">
        <v>10</v>
      </c>
      <c r="G3">
        <f>_xlfn.LET(
    _xlpm.pos, B3,
    _xlpm.count_pos, COUNTIF($B$2:$B$966,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COUNTIFS($F$3:$F$955,"&lt;"&amp;$F4)+1</f>
        <v>2</v>
      </c>
      <c r="C4" t="s">
        <v>32</v>
      </c>
      <c r="D4" t="s">
        <v>18</v>
      </c>
      <c r="E4" t="s">
        <v>33</v>
      </c>
      <c r="F4">
        <v>17</v>
      </c>
      <c r="G4">
        <f>_xlfn.LET(
    _xlpm.pos, B4,
    _xlpm.count_pos, COUNTIF($B$2:$B$966,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EA95-24DF-4C0B-BE3C-B3EC48C78943}">
  <dimension ref="B2:G19"/>
  <sheetViews>
    <sheetView workbookViewId="0">
      <selection activeCell="B19" sqref="B3:B19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8" si="0">COUNTIFS($F$3:$F$970,"&lt;"&amp;$F3)+1</f>
        <v>17</v>
      </c>
      <c r="C3" t="s">
        <v>101</v>
      </c>
      <c r="D3" t="s">
        <v>4</v>
      </c>
      <c r="E3" t="s">
        <v>102</v>
      </c>
      <c r="F3">
        <v>25</v>
      </c>
      <c r="G3">
        <f>_xlfn.LET(
    _xlpm.pos, B3,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4" spans="2:7" x14ac:dyDescent="0.35">
      <c r="B4">
        <f t="shared" si="0"/>
        <v>16</v>
      </c>
      <c r="C4" t="s">
        <v>105</v>
      </c>
      <c r="D4" t="s">
        <v>4</v>
      </c>
      <c r="E4" t="s">
        <v>106</v>
      </c>
      <c r="F4">
        <v>17</v>
      </c>
      <c r="G4">
        <f>_xlfn.LET(
    _xlpm.pos, B4,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5" spans="2:7" x14ac:dyDescent="0.35">
      <c r="B5">
        <f t="shared" si="0"/>
        <v>15</v>
      </c>
      <c r="C5" t="s">
        <v>99</v>
      </c>
      <c r="D5" t="s">
        <v>4</v>
      </c>
      <c r="E5" t="s">
        <v>100</v>
      </c>
      <c r="F5">
        <v>16</v>
      </c>
      <c r="G5">
        <f>_xlfn.LET(
    _xlpm.pos, B5,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6" spans="2:7" x14ac:dyDescent="0.35">
      <c r="B6">
        <f t="shared" si="0"/>
        <v>14</v>
      </c>
      <c r="C6" t="s">
        <v>85</v>
      </c>
      <c r="D6" t="s">
        <v>4</v>
      </c>
      <c r="E6" t="s">
        <v>86</v>
      </c>
      <c r="F6">
        <v>11</v>
      </c>
      <c r="G6">
        <f>_xlfn.LET(
    _xlpm.pos, B6,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7" spans="2:7" x14ac:dyDescent="0.35">
      <c r="B7">
        <f t="shared" si="0"/>
        <v>13</v>
      </c>
      <c r="C7" t="s">
        <v>34</v>
      </c>
      <c r="D7" t="s">
        <v>4</v>
      </c>
      <c r="E7" t="s">
        <v>35</v>
      </c>
      <c r="F7">
        <v>8</v>
      </c>
      <c r="G7">
        <f>_xlfn.LET(
    _xlpm.pos, B7,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8" spans="2:7" x14ac:dyDescent="0.35">
      <c r="B8">
        <f t="shared" si="0"/>
        <v>12</v>
      </c>
      <c r="C8" t="s">
        <v>93</v>
      </c>
      <c r="D8" t="s">
        <v>4</v>
      </c>
      <c r="E8" t="s">
        <v>94</v>
      </c>
      <c r="F8">
        <v>7</v>
      </c>
      <c r="G8">
        <f>_xlfn.LET(
    _xlpm.pos, B8,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9" spans="2:7" x14ac:dyDescent="0.35">
      <c r="B9">
        <f t="shared" si="0"/>
        <v>11</v>
      </c>
      <c r="C9" t="s">
        <v>89</v>
      </c>
      <c r="D9" t="s">
        <v>4</v>
      </c>
      <c r="E9" t="s">
        <v>90</v>
      </c>
      <c r="F9">
        <v>6</v>
      </c>
      <c r="G9">
        <f>_xlfn.LET(
    _xlpm.pos, B9,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0" spans="2:7" x14ac:dyDescent="0.35">
      <c r="B10">
        <f t="shared" si="0"/>
        <v>9</v>
      </c>
      <c r="C10" t="s">
        <v>6</v>
      </c>
      <c r="D10" t="s">
        <v>4</v>
      </c>
      <c r="E10" t="s">
        <v>7</v>
      </c>
      <c r="F10">
        <v>5</v>
      </c>
      <c r="G10">
        <f>_xlfn.LET(
    _xlpm.pos, B10,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1" spans="2:7" x14ac:dyDescent="0.35">
      <c r="B11">
        <f t="shared" si="0"/>
        <v>9</v>
      </c>
      <c r="C11" t="s">
        <v>96</v>
      </c>
      <c r="D11" t="s">
        <v>4</v>
      </c>
      <c r="E11" t="s">
        <v>97</v>
      </c>
      <c r="F11">
        <v>5</v>
      </c>
      <c r="G11">
        <f>_xlfn.LET(
    _xlpm.pos, B11,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2" spans="2:7" x14ac:dyDescent="0.35">
      <c r="B12">
        <f t="shared" si="0"/>
        <v>8</v>
      </c>
      <c r="C12" t="s">
        <v>81</v>
      </c>
      <c r="D12" t="s">
        <v>4</v>
      </c>
      <c r="E12" t="s">
        <v>82</v>
      </c>
      <c r="F12">
        <v>4</v>
      </c>
      <c r="G12">
        <f>_xlfn.LET(
    _xlpm.pos, B12,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3" spans="2:7" x14ac:dyDescent="0.35">
      <c r="B13">
        <f t="shared" si="0"/>
        <v>7</v>
      </c>
      <c r="C13" t="s">
        <v>87</v>
      </c>
      <c r="D13" t="s">
        <v>4</v>
      </c>
      <c r="E13" t="s">
        <v>88</v>
      </c>
      <c r="F13">
        <v>3</v>
      </c>
      <c r="G13">
        <f>_xlfn.LET(
    _xlpm.pos, B13,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4" spans="2:7" x14ac:dyDescent="0.35">
      <c r="B14">
        <f t="shared" si="0"/>
        <v>6</v>
      </c>
      <c r="C14" t="s">
        <v>75</v>
      </c>
      <c r="D14" t="s">
        <v>4</v>
      </c>
      <c r="E14" t="s">
        <v>76</v>
      </c>
      <c r="F14">
        <v>2</v>
      </c>
      <c r="G14">
        <f>_xlfn.LET(
    _xlpm.pos, B14,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5" spans="2:7" x14ac:dyDescent="0.35">
      <c r="B15">
        <f t="shared" si="0"/>
        <v>5</v>
      </c>
      <c r="C15" t="s">
        <v>103</v>
      </c>
      <c r="D15" t="s">
        <v>4</v>
      </c>
      <c r="E15" t="s">
        <v>104</v>
      </c>
      <c r="F15">
        <v>1</v>
      </c>
      <c r="G15">
        <f>_xlfn.LET(
    _xlpm.pos, B15,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16" spans="2:7" x14ac:dyDescent="0.35">
      <c r="B16">
        <f t="shared" si="0"/>
        <v>4</v>
      </c>
      <c r="C16" t="s">
        <v>8</v>
      </c>
      <c r="D16" t="s">
        <v>4</v>
      </c>
      <c r="E16" t="s">
        <v>9</v>
      </c>
      <c r="F16">
        <v>0</v>
      </c>
      <c r="G16">
        <f>_xlfn.LET(
    _xlpm.pos, B16,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7" spans="2:7" x14ac:dyDescent="0.35">
      <c r="B17">
        <f t="shared" si="0"/>
        <v>3</v>
      </c>
      <c r="C17" t="s">
        <v>77</v>
      </c>
      <c r="D17" t="s">
        <v>4</v>
      </c>
      <c r="E17" t="s">
        <v>20</v>
      </c>
      <c r="F17">
        <v>-2</v>
      </c>
      <c r="G17">
        <f>_xlfn.LET(
    _xlpm.pos, B17,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8" spans="2:7" x14ac:dyDescent="0.35">
      <c r="B18">
        <f t="shared" si="0"/>
        <v>2</v>
      </c>
      <c r="C18" t="s">
        <v>14</v>
      </c>
      <c r="D18" t="s">
        <v>4</v>
      </c>
      <c r="E18" t="s">
        <v>98</v>
      </c>
      <c r="F18">
        <v>-3</v>
      </c>
      <c r="G18">
        <f>_xlfn.LET(
    _xlpm.pos, B18,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9" spans="2:7" x14ac:dyDescent="0.35">
      <c r="B19">
        <f>COUNTIFS($F$3:$F$970,"&lt;"&amp;$F19)+1</f>
        <v>1</v>
      </c>
      <c r="C19" t="s">
        <v>62</v>
      </c>
      <c r="D19" t="s">
        <v>4</v>
      </c>
      <c r="E19" t="s">
        <v>63</v>
      </c>
      <c r="F19">
        <v>-4</v>
      </c>
      <c r="G19">
        <f>_xlfn.LET(
    _xlpm.pos, B19,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sortState xmlns:xlrd2="http://schemas.microsoft.com/office/spreadsheetml/2017/richdata2" ref="B3:G19">
    <sortCondition descending="1" ref="B2:B19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4CE7-C4EE-4A6F-86FA-8767CB6006FB}">
  <dimension ref="B2:G17"/>
  <sheetViews>
    <sheetView workbookViewId="0">
      <selection activeCell="B11" sqref="B11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7" si="0">COUNTIFS($F$3:$F$968,"&lt;"&amp;$F3)+1</f>
        <v>15</v>
      </c>
      <c r="C3" t="s">
        <v>101</v>
      </c>
      <c r="D3" t="s">
        <v>4</v>
      </c>
      <c r="E3" t="s">
        <v>102</v>
      </c>
      <c r="F3">
        <v>25</v>
      </c>
      <c r="G3">
        <f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4" spans="2:7" x14ac:dyDescent="0.35">
      <c r="B4">
        <f t="shared" si="0"/>
        <v>14</v>
      </c>
      <c r="C4" t="s">
        <v>78</v>
      </c>
      <c r="D4" t="s">
        <v>4</v>
      </c>
      <c r="E4" t="s">
        <v>79</v>
      </c>
      <c r="F4">
        <v>22</v>
      </c>
      <c r="G4">
        <f>_xlfn.LET(
    _xlpm.pos, B4,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5" spans="2:7" x14ac:dyDescent="0.35">
      <c r="B5">
        <f t="shared" si="0"/>
        <v>12</v>
      </c>
      <c r="C5" t="s">
        <v>105</v>
      </c>
      <c r="D5" t="s">
        <v>4</v>
      </c>
      <c r="E5" t="s">
        <v>106</v>
      </c>
      <c r="F5">
        <v>17</v>
      </c>
      <c r="G5">
        <f>_xlfn.LET(
    _xlpm.pos, B5,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6" spans="2:7" x14ac:dyDescent="0.35">
      <c r="B6">
        <f t="shared" si="0"/>
        <v>12</v>
      </c>
      <c r="C6" t="s">
        <v>32</v>
      </c>
      <c r="D6" t="s">
        <v>18</v>
      </c>
      <c r="E6" s="11" t="s">
        <v>33</v>
      </c>
      <c r="F6">
        <v>17</v>
      </c>
      <c r="G6">
        <f>_xlfn.LET(
    _xlpm.pos, B6,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7" spans="2:7" x14ac:dyDescent="0.35">
      <c r="B7">
        <f t="shared" si="0"/>
        <v>11</v>
      </c>
      <c r="C7" t="s">
        <v>99</v>
      </c>
      <c r="D7" t="s">
        <v>4</v>
      </c>
      <c r="E7" t="s">
        <v>100</v>
      </c>
      <c r="F7">
        <v>16</v>
      </c>
      <c r="G7">
        <f>_xlfn.LET(
    _xlpm.pos, B7,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8" spans="2:7" x14ac:dyDescent="0.35">
      <c r="B8">
        <f t="shared" si="0"/>
        <v>10</v>
      </c>
      <c r="C8" t="s">
        <v>85</v>
      </c>
      <c r="D8" t="s">
        <v>4</v>
      </c>
      <c r="E8" t="s">
        <v>86</v>
      </c>
      <c r="F8">
        <v>11</v>
      </c>
      <c r="G8">
        <f>_xlfn.LET(
    _xlpm.pos, B8,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9" spans="2:7" x14ac:dyDescent="0.35">
      <c r="B9">
        <f t="shared" si="0"/>
        <v>9</v>
      </c>
      <c r="C9" t="s">
        <v>80</v>
      </c>
      <c r="D9" t="s">
        <v>18</v>
      </c>
      <c r="E9" t="s">
        <v>22</v>
      </c>
      <c r="F9">
        <v>10</v>
      </c>
      <c r="G9">
        <f>_xlfn.LET(
    _xlpm.pos, B9,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0" spans="2:7" x14ac:dyDescent="0.35">
      <c r="B10">
        <f t="shared" si="0"/>
        <v>8</v>
      </c>
      <c r="C10" t="s">
        <v>34</v>
      </c>
      <c r="D10" t="s">
        <v>4</v>
      </c>
      <c r="E10" t="s">
        <v>35</v>
      </c>
      <c r="F10">
        <v>8</v>
      </c>
      <c r="G10">
        <f>_xlfn.LET(
    _xlpm.pos, B10,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x14ac:dyDescent="0.35">
      <c r="B11">
        <f t="shared" si="0"/>
        <v>7</v>
      </c>
      <c r="C11" t="s">
        <v>93</v>
      </c>
      <c r="D11" t="s">
        <v>4</v>
      </c>
      <c r="E11" t="s">
        <v>94</v>
      </c>
      <c r="F11">
        <v>7</v>
      </c>
      <c r="G11">
        <f>_xlfn.LET(
    _xlpm.pos, B11,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2" spans="2:7" x14ac:dyDescent="0.35">
      <c r="B12">
        <f t="shared" si="0"/>
        <v>6</v>
      </c>
      <c r="C12" t="s">
        <v>89</v>
      </c>
      <c r="D12" t="s">
        <v>4</v>
      </c>
      <c r="E12" t="s">
        <v>90</v>
      </c>
      <c r="F12">
        <v>6</v>
      </c>
      <c r="G12">
        <f>_xlfn.LET(
    _xlpm.pos, B12,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3" spans="2:7" x14ac:dyDescent="0.35">
      <c r="B13">
        <f t="shared" si="0"/>
        <v>4</v>
      </c>
      <c r="C13" t="s">
        <v>6</v>
      </c>
      <c r="D13" t="s">
        <v>4</v>
      </c>
      <c r="E13" s="11" t="s">
        <v>7</v>
      </c>
      <c r="F13">
        <v>5</v>
      </c>
      <c r="G13">
        <f>_xlfn.LET(
    _xlpm.pos, B13,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14" spans="2:7" x14ac:dyDescent="0.35">
      <c r="B14">
        <f t="shared" si="0"/>
        <v>4</v>
      </c>
      <c r="C14" t="s">
        <v>96</v>
      </c>
      <c r="D14" t="s">
        <v>4</v>
      </c>
      <c r="E14" t="s">
        <v>97</v>
      </c>
      <c r="F14">
        <v>5</v>
      </c>
      <c r="G14">
        <f>_xlfn.LET(
    _xlpm.pos, B14,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15" spans="2:7" x14ac:dyDescent="0.35">
      <c r="B15">
        <f t="shared" si="0"/>
        <v>3</v>
      </c>
      <c r="C15" t="s">
        <v>81</v>
      </c>
      <c r="D15" t="s">
        <v>4</v>
      </c>
      <c r="E15" t="s">
        <v>82</v>
      </c>
      <c r="F15">
        <v>4</v>
      </c>
      <c r="G15">
        <f>_xlfn.LET(
    _xlpm.pos, B15,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6" spans="2:7" x14ac:dyDescent="0.35">
      <c r="B16">
        <f t="shared" si="0"/>
        <v>2</v>
      </c>
      <c r="C16" t="s">
        <v>87</v>
      </c>
      <c r="D16" t="s">
        <v>4</v>
      </c>
      <c r="E16" t="s">
        <v>88</v>
      </c>
      <c r="F16">
        <v>3</v>
      </c>
      <c r="G16">
        <f>_xlfn.LET(
    _xlpm.pos, B16,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7" spans="2:7" x14ac:dyDescent="0.35">
      <c r="B17">
        <f t="shared" si="0"/>
        <v>1</v>
      </c>
      <c r="C17" t="s">
        <v>103</v>
      </c>
      <c r="D17" t="s">
        <v>4</v>
      </c>
      <c r="E17" t="s">
        <v>104</v>
      </c>
      <c r="F17">
        <v>1</v>
      </c>
      <c r="G17">
        <f>_xlfn.LET(
    _xlpm.pos, B17,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sortState xmlns:xlrd2="http://schemas.microsoft.com/office/spreadsheetml/2017/richdata2" ref="B3:G17">
    <sortCondition descending="1" ref="B2:B17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6688-6977-4DE6-ADF0-8DF07B566CE8}">
  <dimension ref="B2:G22"/>
  <sheetViews>
    <sheetView workbookViewId="0">
      <selection activeCell="B2" sqref="B2:G22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3" si="0">COUNTIFS($F$3:$F$978,"&lt;"&amp;$F3)+1</f>
        <v>3</v>
      </c>
      <c r="C3" t="s">
        <v>8</v>
      </c>
      <c r="D3" t="s">
        <v>4</v>
      </c>
      <c r="E3" t="s">
        <v>9</v>
      </c>
      <c r="F3">
        <v>1</v>
      </c>
      <c r="G3">
        <f>_xlfn.LET(
    _xlpm.pos, B3,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4" spans="2:7" x14ac:dyDescent="0.35">
      <c r="B4">
        <f t="shared" si="0"/>
        <v>18</v>
      </c>
      <c r="C4" t="s">
        <v>78</v>
      </c>
      <c r="D4" t="s">
        <v>4</v>
      </c>
      <c r="E4" t="s">
        <v>79</v>
      </c>
      <c r="F4">
        <v>37</v>
      </c>
      <c r="G4">
        <f>_xlfn.LET(
    _xlpm.pos, B4,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5" spans="2:7" x14ac:dyDescent="0.35">
      <c r="B5">
        <f t="shared" si="0"/>
        <v>19</v>
      </c>
      <c r="C5" t="s">
        <v>10</v>
      </c>
      <c r="D5" t="s">
        <v>4</v>
      </c>
      <c r="E5" t="s">
        <v>11</v>
      </c>
      <c r="F5">
        <v>41</v>
      </c>
      <c r="G5">
        <f>_xlfn.LET(
    _xlpm.pos, B5,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6" spans="2:7" x14ac:dyDescent="0.35">
      <c r="B6">
        <f t="shared" si="0"/>
        <v>5</v>
      </c>
      <c r="C6" t="s">
        <v>14</v>
      </c>
      <c r="D6" t="s">
        <v>4</v>
      </c>
      <c r="E6" t="s">
        <v>15</v>
      </c>
      <c r="F6">
        <v>2</v>
      </c>
      <c r="G6">
        <f>_xlfn.LET(
    _xlpm.pos, B6,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7" spans="2:7" x14ac:dyDescent="0.35">
      <c r="B7">
        <f t="shared" si="0"/>
        <v>20</v>
      </c>
      <c r="C7" t="s">
        <v>74</v>
      </c>
      <c r="D7" t="s">
        <v>4</v>
      </c>
      <c r="E7" t="s">
        <v>53</v>
      </c>
      <c r="F7">
        <v>63</v>
      </c>
      <c r="G7">
        <f>_xlfn.LET(
    _xlpm.pos, B7,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8" spans="2:7" x14ac:dyDescent="0.35">
      <c r="B8">
        <f t="shared" si="0"/>
        <v>16</v>
      </c>
      <c r="C8" t="s">
        <v>93</v>
      </c>
      <c r="D8" t="s">
        <v>4</v>
      </c>
      <c r="E8" t="s">
        <v>94</v>
      </c>
      <c r="F8">
        <v>20</v>
      </c>
      <c r="G8">
        <f>_xlfn.LET(
    _xlpm.pos, B8,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9" spans="2:7" x14ac:dyDescent="0.35">
      <c r="B9">
        <f t="shared" si="0"/>
        <v>15</v>
      </c>
      <c r="C9" t="s">
        <v>17</v>
      </c>
      <c r="D9" t="s">
        <v>18</v>
      </c>
      <c r="E9" t="s">
        <v>19</v>
      </c>
      <c r="F9">
        <v>10</v>
      </c>
      <c r="G9">
        <f>_xlfn.LET(
    _xlpm.pos, B9,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0" spans="2:7" x14ac:dyDescent="0.35">
      <c r="B10">
        <f t="shared" si="0"/>
        <v>7</v>
      </c>
      <c r="C10" t="s">
        <v>75</v>
      </c>
      <c r="D10" t="s">
        <v>4</v>
      </c>
      <c r="E10" t="s">
        <v>76</v>
      </c>
      <c r="F10">
        <v>4</v>
      </c>
      <c r="G10">
        <f>_xlfn.LET(
    _xlpm.pos, B10,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x14ac:dyDescent="0.35">
      <c r="B11">
        <f t="shared" si="0"/>
        <v>2</v>
      </c>
      <c r="C11" t="s">
        <v>77</v>
      </c>
      <c r="D11" t="s">
        <v>4</v>
      </c>
      <c r="E11" t="s">
        <v>20</v>
      </c>
      <c r="F11">
        <v>0</v>
      </c>
      <c r="G11">
        <f>_xlfn.LET(
    _xlpm.pos, B11,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2" spans="2:7" x14ac:dyDescent="0.35">
      <c r="B12">
        <f t="shared" si="0"/>
        <v>17</v>
      </c>
      <c r="C12" t="s">
        <v>80</v>
      </c>
      <c r="D12" t="s">
        <v>18</v>
      </c>
      <c r="E12" t="s">
        <v>22</v>
      </c>
      <c r="F12">
        <v>21</v>
      </c>
      <c r="G12">
        <f>_xlfn.LET(
    _xlpm.pos, B12,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13" spans="2:7" x14ac:dyDescent="0.35">
      <c r="B13">
        <f t="shared" si="0"/>
        <v>12</v>
      </c>
      <c r="C13" t="s">
        <v>81</v>
      </c>
      <c r="D13" t="s">
        <v>4</v>
      </c>
      <c r="E13" t="s">
        <v>82</v>
      </c>
      <c r="F13">
        <v>6</v>
      </c>
      <c r="G13">
        <f>_xlfn.LET(
    _xlpm.pos, B13,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4" spans="2:7" x14ac:dyDescent="0.35">
      <c r="B14">
        <v>4</v>
      </c>
      <c r="C14" t="s">
        <v>26</v>
      </c>
      <c r="D14" t="s">
        <v>4</v>
      </c>
      <c r="E14" t="s">
        <v>27</v>
      </c>
      <c r="F14">
        <v>1</v>
      </c>
      <c r="G14">
        <f>_xlfn.LET(
    _xlpm.pos, B14,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5" spans="2:7" x14ac:dyDescent="0.35">
      <c r="B15">
        <f t="shared" ref="B15:B22" si="1">COUNTIFS($F$3:$F$978,"&lt;"&amp;$F15)+1</f>
        <v>1</v>
      </c>
      <c r="C15" t="s">
        <v>30</v>
      </c>
      <c r="D15" t="s">
        <v>4</v>
      </c>
      <c r="E15" t="s">
        <v>31</v>
      </c>
      <c r="F15">
        <v>-8</v>
      </c>
      <c r="G15">
        <f>_xlfn.LET(
    _xlpm.pos, B15,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16" spans="2:7" x14ac:dyDescent="0.35">
      <c r="B16">
        <f t="shared" si="1"/>
        <v>13</v>
      </c>
      <c r="C16" t="s">
        <v>34</v>
      </c>
      <c r="D16" t="s">
        <v>4</v>
      </c>
      <c r="E16" t="s">
        <v>35</v>
      </c>
      <c r="F16">
        <v>7</v>
      </c>
      <c r="G16">
        <f>_xlfn.LET(
    _xlpm.pos, B16,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17" spans="2:7" x14ac:dyDescent="0.35">
      <c r="B17">
        <f t="shared" si="1"/>
        <v>10</v>
      </c>
      <c r="C17" t="s">
        <v>85</v>
      </c>
      <c r="D17" t="s">
        <v>4</v>
      </c>
      <c r="E17" t="s">
        <v>86</v>
      </c>
      <c r="F17">
        <v>5</v>
      </c>
      <c r="G17">
        <f>_xlfn.LET(
    _xlpm.pos, B17,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135</v>
      </c>
    </row>
    <row r="18" spans="2:7" x14ac:dyDescent="0.35">
      <c r="B18">
        <f t="shared" si="1"/>
        <v>14</v>
      </c>
      <c r="C18" t="s">
        <v>87</v>
      </c>
      <c r="D18" t="s">
        <v>4</v>
      </c>
      <c r="E18" t="s">
        <v>88</v>
      </c>
      <c r="F18">
        <v>9</v>
      </c>
      <c r="G18">
        <f>_xlfn.LET(
    _xlpm.pos, B18,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9" spans="2:7" x14ac:dyDescent="0.35">
      <c r="B19">
        <f t="shared" si="1"/>
        <v>6</v>
      </c>
      <c r="C19" t="s">
        <v>56</v>
      </c>
      <c r="D19" t="s">
        <v>18</v>
      </c>
      <c r="E19" t="s">
        <v>57</v>
      </c>
      <c r="F19">
        <v>3</v>
      </c>
      <c r="G19">
        <f>_xlfn.LET(
    _xlpm.pos, B19,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20" spans="2:7" x14ac:dyDescent="0.35">
      <c r="B20">
        <f t="shared" si="1"/>
        <v>7</v>
      </c>
      <c r="C20" t="s">
        <v>40</v>
      </c>
      <c r="D20" t="s">
        <v>18</v>
      </c>
      <c r="E20" t="s">
        <v>58</v>
      </c>
      <c r="F20">
        <v>4</v>
      </c>
      <c r="G20">
        <f>_xlfn.LET(
    _xlpm.pos, B20,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21" spans="2:7" x14ac:dyDescent="0.35">
      <c r="B21">
        <f t="shared" si="1"/>
        <v>7</v>
      </c>
      <c r="C21" t="s">
        <v>89</v>
      </c>
      <c r="D21" t="s">
        <v>4</v>
      </c>
      <c r="E21" t="s">
        <v>90</v>
      </c>
      <c r="F21">
        <v>4</v>
      </c>
      <c r="G21">
        <f>_xlfn.LET(
    _xlpm.pos, B21,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22" spans="2:7" x14ac:dyDescent="0.35">
      <c r="B22">
        <f t="shared" si="1"/>
        <v>10</v>
      </c>
      <c r="C22" t="s">
        <v>62</v>
      </c>
      <c r="D22" t="s">
        <v>4</v>
      </c>
      <c r="E22" t="s">
        <v>63</v>
      </c>
      <c r="F22">
        <v>5</v>
      </c>
      <c r="G22">
        <f>_xlfn.LET(
    _xlpm.pos, B22,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F1E7-ED0D-46EC-A95D-20B7A55A2F6F}">
  <dimension ref="B2:G7"/>
  <sheetViews>
    <sheetView workbookViewId="0">
      <selection activeCell="A8" sqref="A8:XFD8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COUNTIFS($F$3:$F$963,"&lt;"&amp;$F3)+1</f>
        <v>3</v>
      </c>
      <c r="C3" t="s">
        <v>17</v>
      </c>
      <c r="D3" t="s">
        <v>18</v>
      </c>
      <c r="E3" t="s">
        <v>19</v>
      </c>
      <c r="F3">
        <v>10</v>
      </c>
      <c r="G3">
        <f>_xlfn.LET(
    _xlpm.pos, B3,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4" spans="2:7" x14ac:dyDescent="0.35">
      <c r="B4">
        <f>COUNTIFS($F$3:$F$963,"&lt;"&amp;$F4)+1</f>
        <v>4</v>
      </c>
      <c r="C4" t="s">
        <v>80</v>
      </c>
      <c r="D4" t="s">
        <v>18</v>
      </c>
      <c r="E4" t="s">
        <v>22</v>
      </c>
      <c r="F4">
        <v>21</v>
      </c>
      <c r="G4">
        <f>_xlfn.LET(
    _xlpm.pos, B4,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5" spans="2:7" x14ac:dyDescent="0.35">
      <c r="B5">
        <f>COUNTIFS($F$3:$F$963,"&lt;"&amp;$F5)+1</f>
        <v>5</v>
      </c>
      <c r="C5" t="s">
        <v>24</v>
      </c>
      <c r="D5" t="s">
        <v>18</v>
      </c>
      <c r="E5" t="s">
        <v>25</v>
      </c>
      <c r="F5">
        <v>180</v>
      </c>
      <c r="G5">
        <f>_xlfn.LET(
    _xlpm.pos, B5,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6" spans="2:7" x14ac:dyDescent="0.35">
      <c r="B6">
        <f>COUNTIFS($F$3:$F$963,"&lt;"&amp;$F6)+1</f>
        <v>1</v>
      </c>
      <c r="C6" t="s">
        <v>56</v>
      </c>
      <c r="D6" t="s">
        <v>18</v>
      </c>
      <c r="E6" t="s">
        <v>57</v>
      </c>
      <c r="F6">
        <v>3</v>
      </c>
      <c r="G6">
        <f>_xlfn.LET(
    _xlpm.pos, B6,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7" spans="2:7" x14ac:dyDescent="0.35">
      <c r="B7">
        <f>COUNTIFS($F$3:$F$963,"&lt;"&amp;$F7)+1</f>
        <v>2</v>
      </c>
      <c r="C7" t="s">
        <v>40</v>
      </c>
      <c r="D7" t="s">
        <v>18</v>
      </c>
      <c r="E7" t="s">
        <v>58</v>
      </c>
      <c r="F7">
        <v>4</v>
      </c>
      <c r="G7">
        <f>_xlfn.LET(
    _xlpm.pos, B7,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DFA7-DE1D-4013-9AD6-F122238E5CBC}">
  <dimension ref="B2:G14"/>
  <sheetViews>
    <sheetView workbookViewId="0">
      <selection activeCell="C18" sqref="C18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4" si="0">COUNTIFS($F$3:$F$970,"&lt;"&amp;$F3)+1</f>
        <v>2</v>
      </c>
      <c r="C3" t="s">
        <v>8</v>
      </c>
      <c r="D3" t="s">
        <v>4</v>
      </c>
      <c r="E3" t="s">
        <v>9</v>
      </c>
      <c r="F3">
        <v>1</v>
      </c>
      <c r="G3">
        <f>_xlfn.LET(
    _xlpm.pos, B3,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4" spans="2:7" x14ac:dyDescent="0.35">
      <c r="B4">
        <f t="shared" si="0"/>
        <v>3</v>
      </c>
      <c r="C4" t="s">
        <v>14</v>
      </c>
      <c r="D4" t="s">
        <v>4</v>
      </c>
      <c r="E4" t="s">
        <v>15</v>
      </c>
      <c r="F4">
        <v>2</v>
      </c>
      <c r="G4">
        <f>_xlfn.LET(
    _xlpm.pos, B4,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5" spans="2:7" x14ac:dyDescent="0.35">
      <c r="B5">
        <f t="shared" si="0"/>
        <v>12</v>
      </c>
      <c r="C5" t="s">
        <v>93</v>
      </c>
      <c r="D5" t="s">
        <v>4</v>
      </c>
      <c r="E5" t="s">
        <v>94</v>
      </c>
      <c r="F5">
        <v>20</v>
      </c>
      <c r="G5">
        <f>_xlfn.LET(
    _xlpm.pos, B5,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6" spans="2:7" x14ac:dyDescent="0.35">
      <c r="B6">
        <f t="shared" si="0"/>
        <v>4</v>
      </c>
      <c r="C6" t="s">
        <v>75</v>
      </c>
      <c r="D6" t="s">
        <v>4</v>
      </c>
      <c r="E6" t="s">
        <v>76</v>
      </c>
      <c r="F6">
        <v>4</v>
      </c>
      <c r="G6">
        <f>_xlfn.LET(
    _xlpm.pos, B6,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7" spans="2:7" x14ac:dyDescent="0.35">
      <c r="B7">
        <f t="shared" si="0"/>
        <v>1</v>
      </c>
      <c r="C7" t="s">
        <v>77</v>
      </c>
      <c r="D7" t="s">
        <v>4</v>
      </c>
      <c r="E7" t="s">
        <v>20</v>
      </c>
      <c r="F7">
        <v>0</v>
      </c>
      <c r="G7">
        <f>_xlfn.LET(
    _xlpm.pos, B7,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8" spans="2:7" x14ac:dyDescent="0.35">
      <c r="B8">
        <f t="shared" si="0"/>
        <v>9</v>
      </c>
      <c r="C8" t="s">
        <v>81</v>
      </c>
      <c r="D8" t="s">
        <v>4</v>
      </c>
      <c r="E8" t="s">
        <v>82</v>
      </c>
      <c r="F8">
        <v>6</v>
      </c>
      <c r="G8">
        <f>_xlfn.LET(
    _xlpm.pos, B8,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9" spans="2:7" x14ac:dyDescent="0.35">
      <c r="B9">
        <f t="shared" si="0"/>
        <v>10</v>
      </c>
      <c r="C9" t="s">
        <v>34</v>
      </c>
      <c r="D9" t="s">
        <v>4</v>
      </c>
      <c r="E9" t="s">
        <v>35</v>
      </c>
      <c r="F9">
        <v>7</v>
      </c>
      <c r="G9">
        <f>_xlfn.LET(
    _xlpm.pos, B9,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0" spans="2:7" x14ac:dyDescent="0.35">
      <c r="B10">
        <f t="shared" si="0"/>
        <v>7</v>
      </c>
      <c r="C10" t="s">
        <v>85</v>
      </c>
      <c r="D10" t="s">
        <v>4</v>
      </c>
      <c r="E10" t="s">
        <v>86</v>
      </c>
      <c r="F10">
        <v>5</v>
      </c>
      <c r="G10">
        <f>_xlfn.LET(
    _xlpm.pos, B10,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1" spans="2:7" x14ac:dyDescent="0.35">
      <c r="B11">
        <f t="shared" si="0"/>
        <v>11</v>
      </c>
      <c r="C11" t="s">
        <v>87</v>
      </c>
      <c r="D11" t="s">
        <v>4</v>
      </c>
      <c r="E11" t="s">
        <v>88</v>
      </c>
      <c r="F11">
        <v>9</v>
      </c>
      <c r="G11">
        <f>_xlfn.LET(
    _xlpm.pos, B11,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2" spans="2:7" x14ac:dyDescent="0.35">
      <c r="B12">
        <f t="shared" si="0"/>
        <v>4</v>
      </c>
      <c r="C12" t="s">
        <v>40</v>
      </c>
      <c r="D12" t="s">
        <v>18</v>
      </c>
      <c r="E12" t="s">
        <v>58</v>
      </c>
      <c r="F12">
        <v>4</v>
      </c>
      <c r="G12">
        <f>_xlfn.LET(
    _xlpm.pos, B12,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13" spans="2:7" x14ac:dyDescent="0.35">
      <c r="B13">
        <f t="shared" si="0"/>
        <v>4</v>
      </c>
      <c r="C13" t="s">
        <v>89</v>
      </c>
      <c r="D13" t="s">
        <v>4</v>
      </c>
      <c r="E13" t="s">
        <v>90</v>
      </c>
      <c r="F13">
        <v>4</v>
      </c>
      <c r="G13">
        <f>_xlfn.LET(
    _xlpm.pos, B13,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14" spans="2:7" x14ac:dyDescent="0.35">
      <c r="B14">
        <f t="shared" si="0"/>
        <v>7</v>
      </c>
      <c r="C14" t="s">
        <v>62</v>
      </c>
      <c r="D14" t="s">
        <v>4</v>
      </c>
      <c r="E14" t="s">
        <v>63</v>
      </c>
      <c r="F14">
        <v>5</v>
      </c>
      <c r="G14">
        <f>_xlfn.LET(
    _xlpm.pos, B14,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9760-1AC6-4DD1-A974-C846D1062C6B}">
  <dimension ref="B2:G10"/>
  <sheetViews>
    <sheetView workbookViewId="0">
      <selection activeCell="G10" sqref="G10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0" si="0">COUNTIFS($F$3:$F$966,"&lt;"&amp;$F3)+1</f>
        <v>8</v>
      </c>
      <c r="C3" t="s">
        <v>78</v>
      </c>
      <c r="D3" t="s">
        <v>4</v>
      </c>
      <c r="E3" t="s">
        <v>79</v>
      </c>
      <c r="F3">
        <v>37</v>
      </c>
      <c r="G3">
        <f>_xlfn.LET(
    _xlpm.pos, B3,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4" spans="2:7" x14ac:dyDescent="0.35">
      <c r="B4">
        <f t="shared" si="0"/>
        <v>7</v>
      </c>
      <c r="C4" t="s">
        <v>80</v>
      </c>
      <c r="D4" t="s">
        <v>18</v>
      </c>
      <c r="E4" t="s">
        <v>22</v>
      </c>
      <c r="F4">
        <v>21</v>
      </c>
      <c r="G4">
        <f>_xlfn.LET(
    _xlpm.pos, B4,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5" spans="2:7" x14ac:dyDescent="0.35">
      <c r="B5">
        <f t="shared" si="0"/>
        <v>6</v>
      </c>
      <c r="C5" t="s">
        <v>93</v>
      </c>
      <c r="D5" t="s">
        <v>4</v>
      </c>
      <c r="E5" t="s">
        <v>94</v>
      </c>
      <c r="F5">
        <v>20</v>
      </c>
      <c r="G5">
        <f>_xlfn.LET(
    _xlpm.pos, B5,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6" spans="2:7" x14ac:dyDescent="0.35">
      <c r="B6">
        <f t="shared" si="0"/>
        <v>5</v>
      </c>
      <c r="C6" t="s">
        <v>87</v>
      </c>
      <c r="D6" t="s">
        <v>4</v>
      </c>
      <c r="E6" t="s">
        <v>88</v>
      </c>
      <c r="F6">
        <v>9</v>
      </c>
      <c r="G6">
        <f>_xlfn.LET(
    _xlpm.pos, B6,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7" spans="2:7" x14ac:dyDescent="0.35">
      <c r="B7">
        <f t="shared" si="0"/>
        <v>4</v>
      </c>
      <c r="C7" t="s">
        <v>34</v>
      </c>
      <c r="D7" t="s">
        <v>4</v>
      </c>
      <c r="E7" t="s">
        <v>35</v>
      </c>
      <c r="F7">
        <v>7</v>
      </c>
      <c r="G7">
        <f>_xlfn.LET(
    _xlpm.pos, B7,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8" spans="2:7" x14ac:dyDescent="0.35">
      <c r="B8">
        <f t="shared" si="0"/>
        <v>3</v>
      </c>
      <c r="C8" t="s">
        <v>81</v>
      </c>
      <c r="D8" t="s">
        <v>4</v>
      </c>
      <c r="E8" t="s">
        <v>82</v>
      </c>
      <c r="F8">
        <v>6</v>
      </c>
      <c r="G8">
        <f>_xlfn.LET(
    _xlpm.pos, B8,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9" spans="2:7" x14ac:dyDescent="0.35">
      <c r="B9">
        <f t="shared" si="0"/>
        <v>2</v>
      </c>
      <c r="C9" t="s">
        <v>85</v>
      </c>
      <c r="D9" t="s">
        <v>4</v>
      </c>
      <c r="E9" t="s">
        <v>86</v>
      </c>
      <c r="F9">
        <v>5</v>
      </c>
      <c r="G9">
        <f>_xlfn.LET(
    _xlpm.pos, B9,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0" spans="2:7" x14ac:dyDescent="0.35">
      <c r="B10">
        <f t="shared" si="0"/>
        <v>1</v>
      </c>
      <c r="C10" t="s">
        <v>89</v>
      </c>
      <c r="D10" t="s">
        <v>4</v>
      </c>
      <c r="E10" t="s">
        <v>90</v>
      </c>
      <c r="F10">
        <v>4</v>
      </c>
      <c r="G10">
        <f>_xlfn.LET(
    _xlpm.pos, B10,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sortState xmlns:xlrd2="http://schemas.microsoft.com/office/spreadsheetml/2017/richdata2" ref="B3:G10">
    <sortCondition descending="1" ref="B2:B10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4F8E-49F8-422F-9F42-F32367FCF606}">
  <dimension ref="B2:G20"/>
  <sheetViews>
    <sheetView workbookViewId="0">
      <selection activeCell="G13" sqref="G13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11.7265625" bestFit="1" customWidth="1"/>
    <col min="7" max="7" width="14.26953125" bestFit="1" customWidth="1"/>
    <col min="8" max="16" width="7.26953125" bestFit="1" customWidth="1"/>
    <col min="17" max="25" width="8.26953125" bestFit="1" customWidth="1"/>
    <col min="26" max="26" width="5.089843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20" si="0">COUNTIFS($F$3:$F$980,"&lt;"&amp;$F3)+1</f>
        <v>5</v>
      </c>
      <c r="C3" s="3" t="s">
        <v>8</v>
      </c>
      <c r="D3" s="3" t="s">
        <v>4</v>
      </c>
      <c r="E3" s="3" t="s">
        <v>9</v>
      </c>
      <c r="F3" s="3">
        <v>-1</v>
      </c>
      <c r="G3">
        <f>_xlfn.LET(
    _xlpm.pos, B3,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4" spans="2:7" x14ac:dyDescent="0.35">
      <c r="B4">
        <f t="shared" si="0"/>
        <v>4</v>
      </c>
      <c r="C4" s="3" t="s">
        <v>10</v>
      </c>
      <c r="D4" s="3" t="s">
        <v>4</v>
      </c>
      <c r="E4" s="3" t="s">
        <v>11</v>
      </c>
      <c r="F4" s="3">
        <v>-4</v>
      </c>
      <c r="G4">
        <f>_xlfn.LET(
    _xlpm.pos, B4,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5" spans="2:7" x14ac:dyDescent="0.35">
      <c r="B5">
        <f t="shared" si="0"/>
        <v>7</v>
      </c>
      <c r="C5" s="3" t="s">
        <v>14</v>
      </c>
      <c r="D5" s="3" t="s">
        <v>4</v>
      </c>
      <c r="E5" s="3" t="s">
        <v>15</v>
      </c>
      <c r="F5" s="3">
        <v>3</v>
      </c>
      <c r="G5">
        <f>_xlfn.LET(
    _xlpm.pos, B5,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6" spans="2:7" x14ac:dyDescent="0.35">
      <c r="B6">
        <f t="shared" si="0"/>
        <v>5</v>
      </c>
      <c r="C6" s="3" t="s">
        <v>74</v>
      </c>
      <c r="D6" s="3" t="s">
        <v>4</v>
      </c>
      <c r="E6" s="3" t="s">
        <v>53</v>
      </c>
      <c r="F6" s="3">
        <v>-1</v>
      </c>
      <c r="G6">
        <f>_xlfn.LET(
    _xlpm.pos, B6,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7" spans="2:7" x14ac:dyDescent="0.35">
      <c r="B7">
        <f t="shared" si="0"/>
        <v>10</v>
      </c>
      <c r="C7" s="3" t="s">
        <v>17</v>
      </c>
      <c r="D7" s="3" t="s">
        <v>18</v>
      </c>
      <c r="E7" s="3" t="s">
        <v>19</v>
      </c>
      <c r="F7" s="3">
        <v>4</v>
      </c>
      <c r="G7">
        <f>_xlfn.LET(
    _xlpm.pos, B7,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8" spans="2:7" x14ac:dyDescent="0.35">
      <c r="B8">
        <f t="shared" si="0"/>
        <v>7</v>
      </c>
      <c r="C8" s="3" t="s">
        <v>75</v>
      </c>
      <c r="D8" s="3" t="s">
        <v>4</v>
      </c>
      <c r="E8" s="3" t="s">
        <v>76</v>
      </c>
      <c r="F8" s="3">
        <v>3</v>
      </c>
      <c r="G8">
        <f>_xlfn.LET(
    _xlpm.pos, B8,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9" spans="2:7" x14ac:dyDescent="0.35">
      <c r="B9">
        <f t="shared" si="0"/>
        <v>10</v>
      </c>
      <c r="C9" s="3" t="s">
        <v>77</v>
      </c>
      <c r="D9" s="3" t="s">
        <v>4</v>
      </c>
      <c r="E9" s="3" t="s">
        <v>20</v>
      </c>
      <c r="F9" s="3">
        <v>4</v>
      </c>
      <c r="G9">
        <f>_xlfn.LET(
    _xlpm.pos, B9,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0" spans="2:7" x14ac:dyDescent="0.35">
      <c r="B10">
        <f t="shared" si="0"/>
        <v>14</v>
      </c>
      <c r="C10" s="3" t="s">
        <v>81</v>
      </c>
      <c r="D10" s="3" t="s">
        <v>4</v>
      </c>
      <c r="E10" s="3" t="s">
        <v>82</v>
      </c>
      <c r="F10" s="3">
        <v>8</v>
      </c>
      <c r="G10">
        <f>_xlfn.LET(
    _xlpm.pos, B10,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1" spans="2:7" x14ac:dyDescent="0.35">
      <c r="B11">
        <f t="shared" si="0"/>
        <v>2</v>
      </c>
      <c r="C11" s="3" t="s">
        <v>26</v>
      </c>
      <c r="D11" s="3" t="s">
        <v>4</v>
      </c>
      <c r="E11" s="3" t="s">
        <v>27</v>
      </c>
      <c r="F11" s="3">
        <v>-8</v>
      </c>
      <c r="G11">
        <f>_xlfn.LET(
    _xlpm.pos, B11,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2" spans="2:7" x14ac:dyDescent="0.35">
      <c r="B12">
        <f t="shared" si="0"/>
        <v>7</v>
      </c>
      <c r="C12" s="3" t="s">
        <v>28</v>
      </c>
      <c r="D12" s="3" t="s">
        <v>4</v>
      </c>
      <c r="E12" s="3" t="s">
        <v>29</v>
      </c>
      <c r="F12" s="3">
        <v>3</v>
      </c>
      <c r="G12">
        <f>_xlfn.LET(
    _xlpm.pos, B12,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3" spans="2:7" x14ac:dyDescent="0.35">
      <c r="B13">
        <f t="shared" si="0"/>
        <v>1</v>
      </c>
      <c r="C13" s="3" t="s">
        <v>30</v>
      </c>
      <c r="D13" s="3" t="s">
        <v>4</v>
      </c>
      <c r="E13" s="3" t="s">
        <v>31</v>
      </c>
      <c r="F13" s="3">
        <v>-9</v>
      </c>
      <c r="G13">
        <f>_xlfn.LET(
    _xlpm.pos, B13,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14" spans="2:7" x14ac:dyDescent="0.35">
      <c r="B14">
        <f t="shared" si="0"/>
        <v>14</v>
      </c>
      <c r="C14" s="3" t="s">
        <v>34</v>
      </c>
      <c r="D14" s="3" t="s">
        <v>4</v>
      </c>
      <c r="E14" s="3" t="s">
        <v>35</v>
      </c>
      <c r="F14" s="3">
        <v>8</v>
      </c>
      <c r="G14">
        <f>_xlfn.LET(
    _xlpm.pos, B14,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5" spans="2:7" x14ac:dyDescent="0.35">
      <c r="B15">
        <f t="shared" si="0"/>
        <v>18</v>
      </c>
      <c r="C15" s="3" t="s">
        <v>85</v>
      </c>
      <c r="D15" s="3" t="s">
        <v>4</v>
      </c>
      <c r="E15" s="3" t="s">
        <v>86</v>
      </c>
      <c r="F15" s="3">
        <v>9</v>
      </c>
      <c r="G15">
        <f>_xlfn.LET(
    _xlpm.pos, B15,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16" spans="2:7" x14ac:dyDescent="0.35">
      <c r="B16">
        <f t="shared" si="0"/>
        <v>14</v>
      </c>
      <c r="C16" s="3" t="s">
        <v>87</v>
      </c>
      <c r="D16" s="3" t="s">
        <v>4</v>
      </c>
      <c r="E16" s="3" t="s">
        <v>88</v>
      </c>
      <c r="F16" s="3">
        <v>8</v>
      </c>
      <c r="G16">
        <f>_xlfn.LET(
    _xlpm.pos, B16,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7" spans="2:7" x14ac:dyDescent="0.35">
      <c r="B17">
        <f t="shared" si="0"/>
        <v>3</v>
      </c>
      <c r="C17" s="3" t="s">
        <v>56</v>
      </c>
      <c r="D17" s="3" t="s">
        <v>18</v>
      </c>
      <c r="E17" s="3" t="s">
        <v>57</v>
      </c>
      <c r="F17" s="3">
        <v>-7</v>
      </c>
      <c r="G17">
        <f>_xlfn.LET(
    _xlpm.pos, B17,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8" spans="2:7" x14ac:dyDescent="0.35">
      <c r="B18">
        <f t="shared" si="0"/>
        <v>10</v>
      </c>
      <c r="C18" s="3" t="s">
        <v>40</v>
      </c>
      <c r="D18" s="3" t="s">
        <v>18</v>
      </c>
      <c r="E18" s="3" t="s">
        <v>58</v>
      </c>
      <c r="F18" s="3">
        <v>4</v>
      </c>
      <c r="G18">
        <f>_xlfn.LET(
    _xlpm.pos, B18,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9" spans="2:7" x14ac:dyDescent="0.35">
      <c r="B19">
        <f t="shared" si="0"/>
        <v>14</v>
      </c>
      <c r="C19" s="3" t="s">
        <v>89</v>
      </c>
      <c r="D19" s="3" t="s">
        <v>4</v>
      </c>
      <c r="E19" s="3" t="s">
        <v>90</v>
      </c>
      <c r="F19" s="3">
        <v>8</v>
      </c>
      <c r="G19">
        <f>_xlfn.LET(
    _xlpm.pos, B19,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20" spans="2:7" x14ac:dyDescent="0.35">
      <c r="B20">
        <f t="shared" si="0"/>
        <v>13</v>
      </c>
      <c r="C20" s="3" t="s">
        <v>62</v>
      </c>
      <c r="D20" s="3" t="s">
        <v>4</v>
      </c>
      <c r="E20" s="3" t="s">
        <v>63</v>
      </c>
      <c r="F20" s="3">
        <v>7</v>
      </c>
      <c r="G20">
        <f>_xlfn.LET(
    _xlpm.pos, B20,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4760-B154-4F9D-9FAC-3E8E763B7260}">
  <dimension ref="B2:G7"/>
  <sheetViews>
    <sheetView workbookViewId="0">
      <selection activeCell="E19" sqref="E19"/>
    </sheetView>
  </sheetViews>
  <sheetFormatPr baseColWidth="10" defaultRowHeight="14.5" x14ac:dyDescent="0.35"/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COUNTIFS($F$3:$F$967,"&lt;"&amp;$F3)+1</f>
        <v>2</v>
      </c>
      <c r="C3" s="3" t="s">
        <v>17</v>
      </c>
      <c r="D3" s="3" t="s">
        <v>18</v>
      </c>
      <c r="E3" s="3" t="s">
        <v>19</v>
      </c>
      <c r="F3" s="3">
        <v>4</v>
      </c>
      <c r="G3">
        <f>_xlfn.LET(
    _xlpm.pos, B3,
    _xlpm.count_pos, COUNTIF($B$2:$B$978, _xlpm.pos),
    _xlpm.start_pos, _xlpm.pos,
    _xlpm.end_pos, _xlpm.pos + _xlpm.count_pos - 1,
    _xlpm.points_range, INDEX(Puntuacion!$B$2:$B$1000, _xlpm.start_pos):INDEX(Puntuacion!$B$2:$B$1000, _xlpm.end_pos),
    AVERAGE(_xlpm.points_range)
)</f>
        <v>222.5</v>
      </c>
    </row>
    <row r="4" spans="2:7" x14ac:dyDescent="0.35">
      <c r="B4">
        <f>COUNTIFS($F$3:$F$967,"&lt;"&amp;$F4)+1</f>
        <v>1</v>
      </c>
      <c r="C4" s="3" t="s">
        <v>56</v>
      </c>
      <c r="D4" s="3" t="s">
        <v>18</v>
      </c>
      <c r="E4" s="3" t="s">
        <v>57</v>
      </c>
      <c r="F4" s="3">
        <v>-7</v>
      </c>
      <c r="G4">
        <f>_xlfn.LET(
    _xlpm.pos, B4,
    _xlpm.count_pos, COUNTIF($B$2:$B$978,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5" spans="2:7" x14ac:dyDescent="0.35">
      <c r="B5">
        <f>COUNTIFS($F$3:$F$967,"&lt;"&amp;$F5)+1</f>
        <v>2</v>
      </c>
      <c r="C5" s="3" t="s">
        <v>40</v>
      </c>
      <c r="D5" s="3" t="s">
        <v>18</v>
      </c>
      <c r="E5" s="3" t="s">
        <v>58</v>
      </c>
      <c r="F5" s="3">
        <v>4</v>
      </c>
      <c r="G5">
        <f>_xlfn.LET(
    _xlpm.pos, B5,
    _xlpm.count_pos, COUNTIF($B$2:$B$978, _xlpm.pos),
    _xlpm.start_pos, _xlpm.pos,
    _xlpm.end_pos, _xlpm.pos + _xlpm.count_pos - 1,
    _xlpm.points_range, INDEX(Puntuacion!$B$2:$B$1000, _xlpm.start_pos):INDEX(Puntuacion!$B$2:$B$1000, _xlpm.end_pos),
    AVERAGE(_xlpm.points_range)
)</f>
        <v>222.5</v>
      </c>
    </row>
    <row r="6" spans="2:7" x14ac:dyDescent="0.35">
      <c r="C6" s="3"/>
      <c r="D6" s="3"/>
      <c r="E6" s="3"/>
      <c r="F6" s="3"/>
    </row>
    <row r="7" spans="2:7" x14ac:dyDescent="0.35">
      <c r="C7" s="3"/>
      <c r="D7" s="3"/>
      <c r="E7" s="3"/>
      <c r="F7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2595-AFC7-4C26-8A4A-0CC2AB138E85}">
  <dimension ref="B2:G13"/>
  <sheetViews>
    <sheetView workbookViewId="0">
      <selection activeCell="B5" sqref="B5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COUNTIFS($F$3:$F$973,"&lt;"&amp;$F3)+1</f>
        <v>1</v>
      </c>
      <c r="C3" s="3" t="s">
        <v>8</v>
      </c>
      <c r="D3" s="3" t="s">
        <v>4</v>
      </c>
      <c r="E3" s="3" t="s">
        <v>9</v>
      </c>
      <c r="F3" s="3">
        <v>-1</v>
      </c>
      <c r="G3">
        <f>_xlfn.LET(
    _xlpm.pos, B3,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v>3</v>
      </c>
      <c r="C4" s="3" t="s">
        <v>14</v>
      </c>
      <c r="D4" s="3" t="s">
        <v>4</v>
      </c>
      <c r="E4" s="3" t="s">
        <v>15</v>
      </c>
      <c r="F4" s="3">
        <v>3</v>
      </c>
      <c r="G4">
        <f>_xlfn.LET(
    _xlpm.pos, B4,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5" spans="2:7" x14ac:dyDescent="0.35">
      <c r="B5">
        <f t="shared" ref="B5:B13" si="0">COUNTIFS($F$3:$F$973,"&lt;"&amp;$F5)+1</f>
        <v>2</v>
      </c>
      <c r="C5" s="3" t="s">
        <v>75</v>
      </c>
      <c r="D5" s="3" t="s">
        <v>4</v>
      </c>
      <c r="E5" s="3" t="s">
        <v>76</v>
      </c>
      <c r="F5" s="3">
        <v>3</v>
      </c>
      <c r="G5">
        <f>_xlfn.LET(
    _xlpm.pos, B5,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6" spans="2:7" x14ac:dyDescent="0.35">
      <c r="B6">
        <f t="shared" si="0"/>
        <v>4</v>
      </c>
      <c r="C6" s="3" t="s">
        <v>77</v>
      </c>
      <c r="D6" s="3" t="s">
        <v>4</v>
      </c>
      <c r="E6" s="3" t="s">
        <v>20</v>
      </c>
      <c r="F6" s="3">
        <v>4</v>
      </c>
      <c r="G6">
        <f>_xlfn.LET(
    _xlpm.pos, B6,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7" spans="2:7" x14ac:dyDescent="0.35">
      <c r="B7">
        <f t="shared" si="0"/>
        <v>7</v>
      </c>
      <c r="C7" s="3" t="s">
        <v>81</v>
      </c>
      <c r="D7" s="3" t="s">
        <v>4</v>
      </c>
      <c r="E7" s="3" t="s">
        <v>82</v>
      </c>
      <c r="F7" s="3">
        <v>8</v>
      </c>
      <c r="G7">
        <f>_xlfn.LET(
    _xlpm.pos, B7,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8" spans="2:7" x14ac:dyDescent="0.35">
      <c r="B8">
        <f t="shared" si="0"/>
        <v>7</v>
      </c>
      <c r="C8" s="3" t="s">
        <v>34</v>
      </c>
      <c r="D8" s="3" t="s">
        <v>4</v>
      </c>
      <c r="E8" s="3" t="s">
        <v>35</v>
      </c>
      <c r="F8" s="3">
        <v>8</v>
      </c>
      <c r="G8">
        <f>_xlfn.LET(
    _xlpm.pos, B8,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9" spans="2:7" x14ac:dyDescent="0.35">
      <c r="B9">
        <f t="shared" si="0"/>
        <v>11</v>
      </c>
      <c r="C9" s="3" t="s">
        <v>85</v>
      </c>
      <c r="D9" s="3" t="s">
        <v>4</v>
      </c>
      <c r="E9" s="3" t="s">
        <v>86</v>
      </c>
      <c r="F9" s="3">
        <v>9</v>
      </c>
      <c r="G9">
        <f>_xlfn.LET(
    _xlpm.pos, B9,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0" spans="2:7" x14ac:dyDescent="0.35">
      <c r="B10">
        <f t="shared" si="0"/>
        <v>7</v>
      </c>
      <c r="C10" s="3" t="s">
        <v>87</v>
      </c>
      <c r="D10" s="3" t="s">
        <v>4</v>
      </c>
      <c r="E10" s="3" t="s">
        <v>88</v>
      </c>
      <c r="F10" s="3">
        <v>8</v>
      </c>
      <c r="G10">
        <f>_xlfn.LET(
    _xlpm.pos, B10,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1" spans="2:7" x14ac:dyDescent="0.35">
      <c r="B11">
        <f t="shared" si="0"/>
        <v>4</v>
      </c>
      <c r="C11" s="3" t="s">
        <v>40</v>
      </c>
      <c r="D11" s="3" t="s">
        <v>18</v>
      </c>
      <c r="E11" s="3" t="s">
        <v>58</v>
      </c>
      <c r="F11" s="3">
        <v>4</v>
      </c>
      <c r="G11">
        <f>_xlfn.LET(
    _xlpm.pos, B11,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12" spans="2:7" x14ac:dyDescent="0.35">
      <c r="B12">
        <f t="shared" si="0"/>
        <v>7</v>
      </c>
      <c r="C12" s="3" t="s">
        <v>89</v>
      </c>
      <c r="D12" s="3" t="s">
        <v>4</v>
      </c>
      <c r="E12" s="3" t="s">
        <v>90</v>
      </c>
      <c r="F12" s="3">
        <v>8</v>
      </c>
      <c r="G12">
        <f>_xlfn.LET(
    _xlpm.pos, B12,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3" spans="2:7" x14ac:dyDescent="0.35">
      <c r="B13">
        <f t="shared" si="0"/>
        <v>6</v>
      </c>
      <c r="C13" s="3" t="s">
        <v>62</v>
      </c>
      <c r="D13" s="3" t="s">
        <v>4</v>
      </c>
      <c r="E13" s="3" t="s">
        <v>63</v>
      </c>
      <c r="F13" s="3">
        <v>7</v>
      </c>
      <c r="G13">
        <f>_xlfn.LET(
    _xlpm.pos, B13,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1CC9-D76E-4BCF-B922-68F9E177C699}">
  <dimension ref="B2:G28"/>
  <sheetViews>
    <sheetView workbookViewId="0">
      <selection activeCell="E24" sqref="E24"/>
    </sheetView>
  </sheetViews>
  <sheetFormatPr baseColWidth="10" defaultRowHeight="14.5" x14ac:dyDescent="0.35"/>
  <cols>
    <col min="5" max="5" width="30.54296875" bestFit="1" customWidth="1"/>
    <col min="6" max="6" width="5.08984375" bestFit="1" customWidth="1"/>
  </cols>
  <sheetData>
    <row r="2" spans="2:7" x14ac:dyDescent="0.35">
      <c r="B2" t="s">
        <v>48</v>
      </c>
      <c r="C2" t="s">
        <v>0</v>
      </c>
      <c r="D2" t="s">
        <v>1</v>
      </c>
      <c r="E2" t="s">
        <v>2</v>
      </c>
      <c r="F2" t="s">
        <v>3</v>
      </c>
      <c r="G2" t="s">
        <v>47</v>
      </c>
    </row>
    <row r="3" spans="2:7" x14ac:dyDescent="0.35">
      <c r="B3">
        <f>COUNTIFS($F$3:$F$982,"&lt;"&amp;$F3)+1</f>
        <v>1</v>
      </c>
      <c r="C3" t="s">
        <v>10</v>
      </c>
      <c r="D3" t="s">
        <v>4</v>
      </c>
      <c r="E3" t="s">
        <v>11</v>
      </c>
      <c r="F3">
        <v>-6</v>
      </c>
      <c r="G3">
        <f>_xlfn.LET(
    _xlpm.pos, B3,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COUNTIFS($F$3:$F$982,"&lt;"&amp;$F4)+1</f>
        <v>2</v>
      </c>
      <c r="C4" t="s">
        <v>30</v>
      </c>
      <c r="D4" t="s">
        <v>4</v>
      </c>
      <c r="E4" t="s">
        <v>31</v>
      </c>
      <c r="F4">
        <v>-5</v>
      </c>
      <c r="G4">
        <f>_xlfn.LET(
    _xlpm.pos, B4,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>COUNTIFS($F$3:$F$982,"&lt;"&amp;$F5)+1</f>
        <v>3</v>
      </c>
      <c r="C5" t="s">
        <v>26</v>
      </c>
      <c r="D5" t="s">
        <v>4</v>
      </c>
      <c r="E5" t="s">
        <v>27</v>
      </c>
      <c r="F5">
        <v>-4</v>
      </c>
      <c r="G5">
        <f>_xlfn.LET(
    _xlpm.pos, B5,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v>4</v>
      </c>
      <c r="C6" t="s">
        <v>77</v>
      </c>
      <c r="D6" t="s">
        <v>4</v>
      </c>
      <c r="E6" t="s">
        <v>20</v>
      </c>
      <c r="F6">
        <v>-4</v>
      </c>
      <c r="G6">
        <f>_xlfn.LET(
    _xlpm.pos, B6,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ref="B7:B25" si="0">COUNTIFS($F$3:$F$982,"&lt;"&amp;$F7)+1</f>
        <v>5</v>
      </c>
      <c r="C7" t="s">
        <v>74</v>
      </c>
      <c r="D7" t="s">
        <v>4</v>
      </c>
      <c r="E7" t="s">
        <v>53</v>
      </c>
      <c r="F7">
        <v>-3</v>
      </c>
      <c r="G7">
        <f>_xlfn.LET(
    _xlpm.pos, B7,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8</v>
      </c>
      <c r="D8" t="s">
        <v>4</v>
      </c>
      <c r="E8" t="s">
        <v>9</v>
      </c>
      <c r="F8">
        <v>-2</v>
      </c>
      <c r="G8">
        <f>_xlfn.LET(
    _xlpm.pos, B8,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9" spans="2:7" x14ac:dyDescent="0.35">
      <c r="B9">
        <f t="shared" si="0"/>
        <v>6</v>
      </c>
      <c r="C9" t="s">
        <v>56</v>
      </c>
      <c r="D9" t="s">
        <v>18</v>
      </c>
      <c r="E9" t="s">
        <v>57</v>
      </c>
      <c r="F9">
        <v>-2</v>
      </c>
      <c r="G9">
        <f>_xlfn.LET(
    _xlpm.pos, B9,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6</v>
      </c>
      <c r="C10" t="s">
        <v>89</v>
      </c>
      <c r="D10" t="s">
        <v>4</v>
      </c>
      <c r="E10" t="s">
        <v>90</v>
      </c>
      <c r="F10">
        <v>-2</v>
      </c>
      <c r="G10">
        <f>_xlfn.LET(
    _xlpm.pos, B10,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1" spans="2:7" x14ac:dyDescent="0.35">
      <c r="B11">
        <f t="shared" si="0"/>
        <v>9</v>
      </c>
      <c r="C11" t="s">
        <v>17</v>
      </c>
      <c r="D11" t="s">
        <v>18</v>
      </c>
      <c r="E11" t="s">
        <v>19</v>
      </c>
      <c r="F11">
        <v>0</v>
      </c>
      <c r="G11">
        <f>_xlfn.LET(
    _xlpm.pos, B11,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2" spans="2:7" x14ac:dyDescent="0.35">
      <c r="B12">
        <f t="shared" si="0"/>
        <v>10</v>
      </c>
      <c r="C12" t="s">
        <v>62</v>
      </c>
      <c r="D12" t="s">
        <v>4</v>
      </c>
      <c r="E12" t="s">
        <v>63</v>
      </c>
      <c r="F12">
        <v>1</v>
      </c>
      <c r="G12">
        <f>_xlfn.LET(
    _xlpm.pos, B12,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3" spans="2:7" x14ac:dyDescent="0.35">
      <c r="B13">
        <f t="shared" si="0"/>
        <v>11</v>
      </c>
      <c r="C13" t="s">
        <v>81</v>
      </c>
      <c r="D13" t="s">
        <v>4</v>
      </c>
      <c r="E13" t="s">
        <v>82</v>
      </c>
      <c r="F13">
        <v>2</v>
      </c>
      <c r="G13">
        <f>_xlfn.LET(
    _xlpm.pos, B13,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4" spans="2:7" x14ac:dyDescent="0.35">
      <c r="B14">
        <f t="shared" si="0"/>
        <v>12</v>
      </c>
      <c r="C14" t="s">
        <v>28</v>
      </c>
      <c r="D14" t="s">
        <v>4</v>
      </c>
      <c r="E14" t="s">
        <v>29</v>
      </c>
      <c r="F14">
        <v>4</v>
      </c>
      <c r="G14">
        <f>_xlfn.LET(
    _xlpm.pos, B14,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 t="shared" si="0"/>
        <v>13</v>
      </c>
      <c r="C15" t="s">
        <v>12</v>
      </c>
      <c r="D15" t="s">
        <v>4</v>
      </c>
      <c r="E15" t="s">
        <v>13</v>
      </c>
      <c r="F15">
        <v>5</v>
      </c>
      <c r="G15">
        <f>_xlfn.LET(
    _xlpm.pos, B15,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105</v>
      </c>
    </row>
    <row r="16" spans="2:7" x14ac:dyDescent="0.35">
      <c r="B16">
        <f t="shared" si="0"/>
        <v>13</v>
      </c>
      <c r="C16" t="s">
        <v>14</v>
      </c>
      <c r="D16" t="s">
        <v>4</v>
      </c>
      <c r="E16" t="s">
        <v>15</v>
      </c>
      <c r="F16">
        <v>5</v>
      </c>
      <c r="G16">
        <f>_xlfn.LET(
    _xlpm.pos, B16,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105</v>
      </c>
    </row>
    <row r="17" spans="2:7" x14ac:dyDescent="0.35">
      <c r="B17">
        <f t="shared" si="0"/>
        <v>15</v>
      </c>
      <c r="C17" t="s">
        <v>80</v>
      </c>
      <c r="D17" t="s">
        <v>18</v>
      </c>
      <c r="E17" t="s">
        <v>22</v>
      </c>
      <c r="F17">
        <v>7</v>
      </c>
      <c r="G17">
        <f>_xlfn.LET(
    _xlpm.pos, B17,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8" spans="2:7" x14ac:dyDescent="0.35">
      <c r="B18">
        <f t="shared" si="0"/>
        <v>16</v>
      </c>
      <c r="C18" t="s">
        <v>75</v>
      </c>
      <c r="D18" t="s">
        <v>4</v>
      </c>
      <c r="E18" t="s">
        <v>76</v>
      </c>
      <c r="F18">
        <v>10</v>
      </c>
      <c r="G18">
        <f>_xlfn.LET(
    _xlpm.pos, B18,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87.5</v>
      </c>
    </row>
    <row r="19" spans="2:7" x14ac:dyDescent="0.35">
      <c r="B19">
        <f t="shared" si="0"/>
        <v>16</v>
      </c>
      <c r="C19" t="s">
        <v>40</v>
      </c>
      <c r="D19" t="s">
        <v>18</v>
      </c>
      <c r="E19" t="s">
        <v>58</v>
      </c>
      <c r="F19">
        <v>10</v>
      </c>
      <c r="G19">
        <f>_xlfn.LET(
    _xlpm.pos, B19,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87.5</v>
      </c>
    </row>
    <row r="20" spans="2:7" x14ac:dyDescent="0.35">
      <c r="B20">
        <f t="shared" si="0"/>
        <v>18</v>
      </c>
      <c r="C20" t="s">
        <v>83</v>
      </c>
      <c r="D20" t="s">
        <v>4</v>
      </c>
      <c r="E20" t="s">
        <v>84</v>
      </c>
      <c r="F20">
        <v>13</v>
      </c>
      <c r="G20">
        <f>_xlfn.LET(
    _xlpm.pos, B20,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21" spans="2:7" x14ac:dyDescent="0.35">
      <c r="B21">
        <f t="shared" si="0"/>
        <v>19</v>
      </c>
      <c r="C21" t="s">
        <v>24</v>
      </c>
      <c r="D21" t="s">
        <v>18</v>
      </c>
      <c r="E21" t="s">
        <v>25</v>
      </c>
      <c r="F21">
        <v>14</v>
      </c>
      <c r="G21">
        <f>_xlfn.LET(
    _xlpm.pos, B21,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70.333333333333329</v>
      </c>
    </row>
    <row r="22" spans="2:7" x14ac:dyDescent="0.35">
      <c r="B22">
        <f t="shared" si="0"/>
        <v>19</v>
      </c>
      <c r="C22" t="s">
        <v>85</v>
      </c>
      <c r="D22" t="s">
        <v>4</v>
      </c>
      <c r="E22" t="s">
        <v>86</v>
      </c>
      <c r="F22">
        <v>14</v>
      </c>
      <c r="G22">
        <f>_xlfn.LET(
    _xlpm.pos, B22,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70.333333333333329</v>
      </c>
    </row>
    <row r="23" spans="2:7" x14ac:dyDescent="0.35">
      <c r="B23">
        <f t="shared" si="0"/>
        <v>19</v>
      </c>
      <c r="C23" t="s">
        <v>87</v>
      </c>
      <c r="D23" t="s">
        <v>4</v>
      </c>
      <c r="E23" t="s">
        <v>88</v>
      </c>
      <c r="F23">
        <v>14</v>
      </c>
      <c r="G23">
        <f>_xlfn.LET(
    _xlpm.pos, B23,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70.333333333333329</v>
      </c>
    </row>
    <row r="24" spans="2:7" x14ac:dyDescent="0.35">
      <c r="B24">
        <f t="shared" si="0"/>
        <v>23</v>
      </c>
      <c r="C24" t="s">
        <v>78</v>
      </c>
      <c r="D24" t="s">
        <v>4</v>
      </c>
      <c r="E24" t="s">
        <v>79</v>
      </c>
      <c r="F24">
        <v>22</v>
      </c>
      <c r="G24">
        <f>_xlfn.LET(
    _xlpm.pos, B24,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58</v>
      </c>
    </row>
    <row r="25" spans="2:7" x14ac:dyDescent="0.35">
      <c r="B25">
        <f t="shared" si="0"/>
        <v>22</v>
      </c>
      <c r="C25" s="3" t="s">
        <v>54</v>
      </c>
      <c r="D25" s="3" t="s">
        <v>18</v>
      </c>
      <c r="E25" s="3" t="s">
        <v>55</v>
      </c>
      <c r="F25" s="3">
        <v>18</v>
      </c>
      <c r="G25">
        <f>_xlfn.LET(
    _xlpm.pos, B25,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62</v>
      </c>
    </row>
    <row r="28" spans="2:7" x14ac:dyDescent="0.35">
      <c r="B28" s="3"/>
      <c r="G28" s="3"/>
    </row>
  </sheetData>
  <sortState xmlns:xlrd2="http://schemas.microsoft.com/office/spreadsheetml/2017/richdata2" ref="B3:G24">
    <sortCondition ref="B2:B24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9A30-0B11-44F5-B90D-3FDA25BF8A68}">
  <dimension ref="B2:G8"/>
  <sheetViews>
    <sheetView workbookViewId="0">
      <selection activeCell="F9" sqref="F9"/>
    </sheetView>
  </sheetViews>
  <sheetFormatPr baseColWidth="10" defaultRowHeight="14.5" x14ac:dyDescent="0.35"/>
  <cols>
    <col min="4" max="4" width="18.7265625" bestFit="1" customWidth="1"/>
  </cols>
  <sheetData>
    <row r="2" spans="2:7" x14ac:dyDescent="0.35">
      <c r="B2" t="s">
        <v>48</v>
      </c>
      <c r="C2" t="s">
        <v>0</v>
      </c>
      <c r="D2" t="s">
        <v>1</v>
      </c>
      <c r="E2" t="s">
        <v>2</v>
      </c>
      <c r="F2" t="s">
        <v>3</v>
      </c>
      <c r="G2" t="s">
        <v>47</v>
      </c>
    </row>
    <row r="3" spans="2:7" x14ac:dyDescent="0.35">
      <c r="B3">
        <f>COUNTIFS($F$3:$F$965,"&lt;"&amp;$F3)+1</f>
        <v>1</v>
      </c>
      <c r="C3" t="s">
        <v>56</v>
      </c>
      <c r="D3" t="s">
        <v>18</v>
      </c>
      <c r="E3" t="s">
        <v>57</v>
      </c>
      <c r="F3">
        <v>-2</v>
      </c>
      <c r="G3">
        <f>_xlfn.LET(
    _xlpm.pos, B3,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COUNTIFS($F$3:$F$965,"&lt;"&amp;$F4)+1</f>
        <v>2</v>
      </c>
      <c r="C4" t="s">
        <v>17</v>
      </c>
      <c r="D4" t="s">
        <v>18</v>
      </c>
      <c r="E4" t="s">
        <v>19</v>
      </c>
      <c r="F4">
        <v>0</v>
      </c>
      <c r="G4">
        <f>_xlfn.LET(
    _xlpm.pos, B4,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>COUNTIFS($F$3:$F$965,"&lt;"&amp;$F5)+1</f>
        <v>3</v>
      </c>
      <c r="C5" t="s">
        <v>80</v>
      </c>
      <c r="D5" t="s">
        <v>18</v>
      </c>
      <c r="E5" t="s">
        <v>22</v>
      </c>
      <c r="F5">
        <v>7</v>
      </c>
      <c r="G5">
        <f>_xlfn.LET(
    _xlpm.pos, B5,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>COUNTIFS($F$3:$F$965,"&lt;"&amp;$F6)+1</f>
        <v>4</v>
      </c>
      <c r="C6" t="s">
        <v>40</v>
      </c>
      <c r="D6" t="s">
        <v>18</v>
      </c>
      <c r="E6" t="s">
        <v>58</v>
      </c>
      <c r="F6">
        <v>10</v>
      </c>
      <c r="G6">
        <f>_xlfn.LET(
    _xlpm.pos, B6,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>COUNTIFS($F$3:$F$965,"&lt;"&amp;$F7)+1</f>
        <v>5</v>
      </c>
      <c r="C7" t="s">
        <v>24</v>
      </c>
      <c r="D7" t="s">
        <v>18</v>
      </c>
      <c r="E7" t="s">
        <v>25</v>
      </c>
      <c r="F7">
        <v>14</v>
      </c>
      <c r="G7">
        <f>_xlfn.LET(
    _xlpm.pos, B7,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>COUNTIFS($F$3:$F$982,"&lt;"&amp;$F8)+1</f>
        <v>6</v>
      </c>
      <c r="C8" s="3" t="s">
        <v>54</v>
      </c>
      <c r="D8" s="3" t="s">
        <v>18</v>
      </c>
      <c r="E8" s="3" t="s">
        <v>55</v>
      </c>
      <c r="F8" s="3">
        <v>18</v>
      </c>
      <c r="G8">
        <f>_xlfn.LET(
    _xlpm.pos, B8,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</sheetData>
  <autoFilter ref="B2:G7" xr:uid="{F4F09A30-0B11-44F5-B90D-3FDA25BF8A68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3B4B-BB10-4062-98C3-05E2119AE565}">
  <dimension ref="B2:G16"/>
  <sheetViews>
    <sheetView topLeftCell="A3" workbookViewId="0">
      <selection activeCell="D40" sqref="D40"/>
    </sheetView>
  </sheetViews>
  <sheetFormatPr baseColWidth="10" defaultRowHeight="14.5" x14ac:dyDescent="0.35"/>
  <sheetData>
    <row r="2" spans="2:7" x14ac:dyDescent="0.35">
      <c r="B2" t="s">
        <v>48</v>
      </c>
      <c r="C2" t="s">
        <v>0</v>
      </c>
      <c r="D2" t="s">
        <v>1</v>
      </c>
      <c r="E2" t="s">
        <v>2</v>
      </c>
      <c r="F2" t="s">
        <v>3</v>
      </c>
      <c r="G2" t="s">
        <v>47</v>
      </c>
    </row>
    <row r="3" spans="2:7" x14ac:dyDescent="0.35">
      <c r="B3">
        <f>COUNTIFS($F$3:$F$973,"&lt;"&amp;$F3)+1</f>
        <v>1</v>
      </c>
      <c r="C3" t="s">
        <v>77</v>
      </c>
      <c r="D3" t="s">
        <v>4</v>
      </c>
      <c r="E3" t="s">
        <v>20</v>
      </c>
      <c r="F3">
        <v>-4</v>
      </c>
      <c r="G3">
        <f>_xlfn.LET(
    _xlpm.pos, B3,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ref="B4:B15" si="0">COUNTIFS($F$3:$F$973,"&lt;"&amp;$F4)+1</f>
        <v>2</v>
      </c>
      <c r="C4" t="s">
        <v>8</v>
      </c>
      <c r="D4" t="s">
        <v>4</v>
      </c>
      <c r="E4" t="s">
        <v>9</v>
      </c>
      <c r="F4">
        <v>-2</v>
      </c>
      <c r="G4">
        <f>_xlfn.LET(
    _xlpm.pos, B4,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v>3</v>
      </c>
      <c r="C5" t="s">
        <v>89</v>
      </c>
      <c r="D5" t="s">
        <v>4</v>
      </c>
      <c r="E5" t="s">
        <v>90</v>
      </c>
      <c r="F5">
        <v>-2</v>
      </c>
      <c r="G5">
        <f>_xlfn.LET(
    _xlpm.pos, B5,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62</v>
      </c>
      <c r="D6" t="s">
        <v>4</v>
      </c>
      <c r="E6" t="s">
        <v>63</v>
      </c>
      <c r="F6">
        <v>1</v>
      </c>
      <c r="G6">
        <f>_xlfn.LET(
    _xlpm.pos, B6,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81</v>
      </c>
      <c r="D7" t="s">
        <v>4</v>
      </c>
      <c r="E7" t="s">
        <v>82</v>
      </c>
      <c r="F7">
        <v>2</v>
      </c>
      <c r="G7">
        <f>_xlfn.LET(
    _xlpm.pos, B7,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12</v>
      </c>
      <c r="D8" t="s">
        <v>4</v>
      </c>
      <c r="E8" t="s">
        <v>13</v>
      </c>
      <c r="F8">
        <v>5</v>
      </c>
      <c r="G8">
        <f>_xlfn.LET(
    _xlpm.pos, B8,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9" spans="2:7" x14ac:dyDescent="0.35">
      <c r="B9">
        <f t="shared" si="0"/>
        <v>6</v>
      </c>
      <c r="C9" t="s">
        <v>14</v>
      </c>
      <c r="D9" t="s">
        <v>4</v>
      </c>
      <c r="E9" t="s">
        <v>15</v>
      </c>
      <c r="F9">
        <v>5</v>
      </c>
      <c r="G9">
        <f>_xlfn.LET(
    _xlpm.pos, B9,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10" spans="2:7" x14ac:dyDescent="0.35">
      <c r="B10">
        <f t="shared" si="0"/>
        <v>8</v>
      </c>
      <c r="C10" t="s">
        <v>75</v>
      </c>
      <c r="D10" t="s">
        <v>4</v>
      </c>
      <c r="E10" t="s">
        <v>76</v>
      </c>
      <c r="F10">
        <v>10</v>
      </c>
      <c r="G10">
        <f>_xlfn.LET(
    _xlpm.pos, B10,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1" spans="2:7" x14ac:dyDescent="0.35">
      <c r="B11">
        <f t="shared" si="0"/>
        <v>8</v>
      </c>
      <c r="C11" t="s">
        <v>40</v>
      </c>
      <c r="D11" t="s">
        <v>18</v>
      </c>
      <c r="E11" t="s">
        <v>58</v>
      </c>
      <c r="F11">
        <v>10</v>
      </c>
      <c r="G11">
        <f>_xlfn.LET(
    _xlpm.pos, B11,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2" spans="2:7" x14ac:dyDescent="0.35">
      <c r="B12">
        <f t="shared" si="0"/>
        <v>10</v>
      </c>
      <c r="C12" t="s">
        <v>83</v>
      </c>
      <c r="D12" t="s">
        <v>4</v>
      </c>
      <c r="E12" t="s">
        <v>84</v>
      </c>
      <c r="F12">
        <v>13</v>
      </c>
      <c r="G12">
        <f>_xlfn.LET(
    _xlpm.pos, B12,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3" spans="2:7" x14ac:dyDescent="0.35">
      <c r="B13">
        <f t="shared" si="0"/>
        <v>11</v>
      </c>
      <c r="C13" t="s">
        <v>24</v>
      </c>
      <c r="D13" t="s">
        <v>18</v>
      </c>
      <c r="E13" t="s">
        <v>25</v>
      </c>
      <c r="F13">
        <v>14</v>
      </c>
      <c r="G13">
        <f>_xlfn.LET(
    _xlpm.pos, B13,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4" spans="2:7" x14ac:dyDescent="0.35">
      <c r="B14">
        <f t="shared" si="0"/>
        <v>11</v>
      </c>
      <c r="C14" t="s">
        <v>85</v>
      </c>
      <c r="D14" t="s">
        <v>4</v>
      </c>
      <c r="E14" t="s">
        <v>86</v>
      </c>
      <c r="F14">
        <v>14</v>
      </c>
      <c r="G14">
        <f>_xlfn.LET(
    _xlpm.pos, B14,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 t="shared" si="0"/>
        <v>11</v>
      </c>
      <c r="C15" t="s">
        <v>87</v>
      </c>
      <c r="D15" t="s">
        <v>4</v>
      </c>
      <c r="E15" t="s">
        <v>88</v>
      </c>
      <c r="F15">
        <v>14</v>
      </c>
      <c r="G15">
        <f>_xlfn.LET(
    _xlpm.pos, B15,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6" spans="2:7" x14ac:dyDescent="0.35">
      <c r="B16">
        <f>COUNTIFS($F$3:$F$982,"&lt;"&amp;$F16)+1</f>
        <v>14</v>
      </c>
      <c r="C16" s="3" t="s">
        <v>54</v>
      </c>
      <c r="D16" s="3" t="s">
        <v>18</v>
      </c>
      <c r="E16" s="3" t="s">
        <v>55</v>
      </c>
      <c r="F16" s="3">
        <v>18</v>
      </c>
      <c r="G16">
        <f>_xlfn.LET(
    _xlpm.pos, B16,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6F57-EDB3-4D53-9945-205C91962CC0}">
  <dimension ref="B2:G24"/>
  <sheetViews>
    <sheetView workbookViewId="0">
      <selection activeCell="C18" sqref="C18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7" max="7" width="11.2695312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COUNTIFS($F$3:$F$996,"&lt;"&amp;$F3)+1</f>
        <v>1</v>
      </c>
      <c r="C3" t="s">
        <v>30</v>
      </c>
      <c r="D3" t="s">
        <v>4</v>
      </c>
      <c r="E3" s="3" t="s">
        <v>31</v>
      </c>
      <c r="F3" s="3">
        <v>-9</v>
      </c>
      <c r="G3">
        <f>_xlfn.LET(
    _xlpm.pos, B3,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v>4</v>
      </c>
      <c r="C4" t="s">
        <v>77</v>
      </c>
      <c r="D4" t="s">
        <v>4</v>
      </c>
      <c r="E4" s="3" t="s">
        <v>20</v>
      </c>
      <c r="F4" s="3">
        <v>-6</v>
      </c>
      <c r="G4">
        <f>_xlfn.LET(
    _xlpm.pos, B4,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5" spans="2:7" x14ac:dyDescent="0.35">
      <c r="B5">
        <v>3</v>
      </c>
      <c r="C5" t="s">
        <v>56</v>
      </c>
      <c r="D5" t="s">
        <v>18</v>
      </c>
      <c r="E5" s="3" t="s">
        <v>57</v>
      </c>
      <c r="F5" s="3">
        <v>-6</v>
      </c>
      <c r="G5">
        <f>_xlfn.LET(
    _xlpm.pos, B5,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>COUNTIFS($F$3:$F$996,"&lt;"&amp;$F6)+1</f>
        <v>2</v>
      </c>
      <c r="C6" t="s">
        <v>89</v>
      </c>
      <c r="D6" t="s">
        <v>4</v>
      </c>
      <c r="E6" s="3" t="s">
        <v>90</v>
      </c>
      <c r="F6" s="3">
        <v>-6</v>
      </c>
      <c r="G6">
        <f>_xlfn.LET(
    _xlpm.pos, B6,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7" spans="2:7" x14ac:dyDescent="0.35">
      <c r="B7">
        <f>COUNTIFS($F$3:$F$996,"&lt;"&amp;$F7)+1</f>
        <v>5</v>
      </c>
      <c r="C7" t="s">
        <v>62</v>
      </c>
      <c r="D7" t="s">
        <v>4</v>
      </c>
      <c r="E7" s="3" t="s">
        <v>63</v>
      </c>
      <c r="F7" s="3">
        <v>-4</v>
      </c>
      <c r="G7">
        <f>_xlfn.LET(
    _xlpm.pos, B7,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>COUNTIFS($F$3:$F$996,"&lt;"&amp;$F8)+1</f>
        <v>6</v>
      </c>
      <c r="C8" t="s">
        <v>26</v>
      </c>
      <c r="D8" t="s">
        <v>4</v>
      </c>
      <c r="E8" s="3" t="s">
        <v>27</v>
      </c>
      <c r="F8" s="3">
        <v>-3</v>
      </c>
      <c r="G8">
        <f>_xlfn.LET(
    _xlpm.pos, B8,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9" spans="2:7" x14ac:dyDescent="0.35">
      <c r="B9">
        <f>COUNTIFS($F$3:$F$996,"&lt;"&amp;$F9)+1</f>
        <v>7</v>
      </c>
      <c r="C9" t="s">
        <v>93</v>
      </c>
      <c r="D9" t="s">
        <v>4</v>
      </c>
      <c r="E9" s="3" t="s">
        <v>94</v>
      </c>
      <c r="F9" s="3">
        <v>-2</v>
      </c>
      <c r="G9">
        <f>_xlfn.LET(
    _xlpm.pos, B9,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0" spans="2:7" x14ac:dyDescent="0.35">
      <c r="B10">
        <f>COUNTIFS($F$3:$F$996,"&lt;"&amp;$F10)+1</f>
        <v>7</v>
      </c>
      <c r="C10" t="s">
        <v>74</v>
      </c>
      <c r="D10" t="s">
        <v>4</v>
      </c>
      <c r="E10" s="3" t="s">
        <v>140</v>
      </c>
      <c r="F10" s="3">
        <v>-2</v>
      </c>
      <c r="G10">
        <f>_xlfn.LET(
    _xlpm.pos, B10,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1" spans="2:7" x14ac:dyDescent="0.35">
      <c r="B11">
        <f>COUNTIFS($F$3:$F$996,"&lt;"&amp;$F11)+1</f>
        <v>9</v>
      </c>
      <c r="C11" t="s">
        <v>81</v>
      </c>
      <c r="D11" t="s">
        <v>4</v>
      </c>
      <c r="E11" s="3" t="s">
        <v>82</v>
      </c>
      <c r="F11" s="3">
        <v>-1</v>
      </c>
      <c r="G11">
        <f>_xlfn.LET(
    _xlpm.pos, B11,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2" spans="2:7" x14ac:dyDescent="0.35">
      <c r="B12">
        <f>COUNTIFS($F$3:$F$996,"&lt;"&amp;$F12)+1</f>
        <v>10</v>
      </c>
      <c r="C12" t="s">
        <v>40</v>
      </c>
      <c r="D12" t="s">
        <v>18</v>
      </c>
      <c r="E12" s="3" t="s">
        <v>58</v>
      </c>
      <c r="F12" s="3">
        <v>0</v>
      </c>
      <c r="G12">
        <f>_xlfn.LET(
    _xlpm.pos, B12,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3" spans="2:7" x14ac:dyDescent="0.35">
      <c r="B13">
        <f>COUNTIFS($F$3:$F$996,"&lt;"&amp;$F13)+1</f>
        <v>11</v>
      </c>
      <c r="C13" t="s">
        <v>87</v>
      </c>
      <c r="D13" t="s">
        <v>4</v>
      </c>
      <c r="E13" s="3" t="s">
        <v>88</v>
      </c>
      <c r="F13" s="3">
        <v>2</v>
      </c>
      <c r="G13">
        <f>_xlfn.LET(
    _xlpm.pos, B13,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4" spans="2:7" x14ac:dyDescent="0.35">
      <c r="B14">
        <f>COUNTIFS($F$3:$F$996,"&lt;"&amp;$F14)+1</f>
        <v>12</v>
      </c>
      <c r="C14" t="s">
        <v>8</v>
      </c>
      <c r="D14" t="s">
        <v>4</v>
      </c>
      <c r="E14" s="3" t="s">
        <v>9</v>
      </c>
      <c r="F14" s="3">
        <v>3</v>
      </c>
      <c r="G14">
        <f>_xlfn.LET(
    _xlpm.pos, B14,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>COUNTIFS($F$3:$F$996,"&lt;"&amp;$F15)+1</f>
        <v>13</v>
      </c>
      <c r="C15" t="s">
        <v>17</v>
      </c>
      <c r="D15" t="s">
        <v>18</v>
      </c>
      <c r="E15" s="3" t="s">
        <v>19</v>
      </c>
      <c r="F15" s="3">
        <v>5</v>
      </c>
      <c r="G15">
        <f>_xlfn.LET(
    _xlpm.pos, B15,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16" spans="2:7" x14ac:dyDescent="0.35">
      <c r="B16">
        <f>COUNTIFS($F$3:$F$996,"&lt;"&amp;$F16)+1</f>
        <v>14</v>
      </c>
      <c r="C16" t="s">
        <v>21</v>
      </c>
      <c r="D16" t="s">
        <v>18</v>
      </c>
      <c r="E16" s="3" t="s">
        <v>22</v>
      </c>
      <c r="F16" s="3">
        <v>6</v>
      </c>
      <c r="G16">
        <f>_xlfn.LET(
    _xlpm.pos, B16,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7" spans="2:7" x14ac:dyDescent="0.35">
      <c r="B17">
        <f>COUNTIFS($F$3:$F$996,"&lt;"&amp;$F17)+1</f>
        <v>15</v>
      </c>
      <c r="C17" t="s">
        <v>141</v>
      </c>
      <c r="D17" t="s">
        <v>4</v>
      </c>
      <c r="E17" s="3" t="s">
        <v>143</v>
      </c>
      <c r="F17" s="3">
        <v>7</v>
      </c>
      <c r="G17">
        <f>_xlfn.LET(
    _xlpm.pos, B17,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8" spans="2:7" x14ac:dyDescent="0.35">
      <c r="B18">
        <f>COUNTIFS($F$3:$F$996,"&lt;"&amp;$F18)+1</f>
        <v>15</v>
      </c>
      <c r="C18" t="s">
        <v>85</v>
      </c>
      <c r="D18" t="s">
        <v>4</v>
      </c>
      <c r="E18" s="3" t="s">
        <v>86</v>
      </c>
      <c r="F18" s="3">
        <v>7</v>
      </c>
      <c r="G18">
        <f>_xlfn.LET(
    _xlpm.pos, B18,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9" spans="2:7" x14ac:dyDescent="0.35">
      <c r="B19">
        <f>COUNTIFS($F$3:$F$996,"&lt;"&amp;$F19)+1</f>
        <v>17</v>
      </c>
      <c r="C19" t="s">
        <v>107</v>
      </c>
      <c r="D19" t="s">
        <v>108</v>
      </c>
      <c r="E19" s="3" t="s">
        <v>109</v>
      </c>
      <c r="F19" s="3">
        <v>8</v>
      </c>
      <c r="G19">
        <f>_xlfn.LET(
    _xlpm.pos, B19,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20" spans="2:7" x14ac:dyDescent="0.35">
      <c r="B20">
        <f>COUNTIFS($F$3:$F$996,"&lt;"&amp;$F20)+1</f>
        <v>18</v>
      </c>
      <c r="C20" t="s">
        <v>75</v>
      </c>
      <c r="D20" t="s">
        <v>4</v>
      </c>
      <c r="E20" s="3" t="s">
        <v>76</v>
      </c>
      <c r="F20" s="3">
        <v>9</v>
      </c>
      <c r="G20">
        <f>_xlfn.LET(
    _xlpm.pos, B20,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21" spans="2:7" x14ac:dyDescent="0.35">
      <c r="B21">
        <f>COUNTIFS($F$3:$F$996,"&lt;"&amp;$F21)+1</f>
        <v>19</v>
      </c>
      <c r="C21" t="s">
        <v>142</v>
      </c>
      <c r="D21" t="s">
        <v>4</v>
      </c>
      <c r="E21" s="3" t="s">
        <v>144</v>
      </c>
      <c r="F21" s="3">
        <v>11</v>
      </c>
      <c r="G21" s="5">
        <f>_xlfn.LET(
    _xlpm.pos, B21,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22" spans="2:7" x14ac:dyDescent="0.35">
      <c r="B22">
        <f>COUNTIFS($F$3:$F$996,"&lt;"&amp;$F22)+1</f>
        <v>20</v>
      </c>
      <c r="C22" t="s">
        <v>24</v>
      </c>
      <c r="D22" t="s">
        <v>18</v>
      </c>
      <c r="E22" s="3" t="s">
        <v>25</v>
      </c>
      <c r="F22" s="3">
        <v>12</v>
      </c>
      <c r="G22">
        <f>_xlfn.LET(
    _xlpm.pos, B22,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23" spans="2:7" x14ac:dyDescent="0.35">
      <c r="B23">
        <f>COUNTIFS($F$3:$F$996,"&lt;"&amp;$F23)+1</f>
        <v>21</v>
      </c>
      <c r="C23" t="s">
        <v>137</v>
      </c>
      <c r="D23" t="s">
        <v>4</v>
      </c>
      <c r="E23" s="3" t="s">
        <v>138</v>
      </c>
      <c r="F23" s="3">
        <v>14</v>
      </c>
      <c r="G23">
        <f>_xlfn.LET(
    _xlpm.pos, B23,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66</v>
      </c>
    </row>
    <row r="24" spans="2:7" x14ac:dyDescent="0.35">
      <c r="B24">
        <f>COUNTIFS($F$3:$F$996,"&lt;"&amp;$F24)+1</f>
        <v>22</v>
      </c>
      <c r="C24" t="s">
        <v>105</v>
      </c>
      <c r="D24" t="s">
        <v>4</v>
      </c>
      <c r="E24" s="3" t="s">
        <v>106</v>
      </c>
      <c r="F24" s="3">
        <v>15</v>
      </c>
      <c r="G24" s="5">
        <f>_xlfn.LET(
    _xlpm.pos, B24,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62</v>
      </c>
    </row>
  </sheetData>
  <sortState xmlns:xlrd2="http://schemas.microsoft.com/office/spreadsheetml/2017/richdata2" ref="B3:G24">
    <sortCondition ref="B2:B24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057E-4A8D-40F4-A889-DE9C9CFD4E53}">
  <dimension ref="B2:G8"/>
  <sheetViews>
    <sheetView workbookViewId="0">
      <selection activeCell="A9" sqref="A9:XFD9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COUNTIFS($F$3:$F$980,"&lt;"&amp;$F3)+1</f>
        <v>1</v>
      </c>
      <c r="C3" t="s">
        <v>56</v>
      </c>
      <c r="D3" t="s">
        <v>18</v>
      </c>
      <c r="E3" s="3" t="s">
        <v>57</v>
      </c>
      <c r="F3" s="3">
        <v>-6</v>
      </c>
      <c r="G3">
        <f>_xlfn.LET(
    _xlpm.pos, B3,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COUNTIFS($F$3:$F$980,"&lt;"&amp;$F4)+1</f>
        <v>2</v>
      </c>
      <c r="C4" t="s">
        <v>40</v>
      </c>
      <c r="D4" t="s">
        <v>18</v>
      </c>
      <c r="E4" s="3" t="s">
        <v>58</v>
      </c>
      <c r="F4" s="3">
        <v>0</v>
      </c>
      <c r="G4">
        <f>_xlfn.LET(
    _xlpm.pos, B4,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>COUNTIFS($F$3:$F$980,"&lt;"&amp;$F5)+1</f>
        <v>3</v>
      </c>
      <c r="C5" t="s">
        <v>17</v>
      </c>
      <c r="D5" t="s">
        <v>18</v>
      </c>
      <c r="E5" s="3" t="s">
        <v>19</v>
      </c>
      <c r="F5" s="3">
        <v>5</v>
      </c>
      <c r="G5">
        <f>_xlfn.LET(
    _xlpm.pos, B5,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>COUNTIFS($F$3:$F$980,"&lt;"&amp;$F6)+1</f>
        <v>4</v>
      </c>
      <c r="C6" t="s">
        <v>21</v>
      </c>
      <c r="D6" t="s">
        <v>18</v>
      </c>
      <c r="E6" s="3" t="s">
        <v>22</v>
      </c>
      <c r="F6" s="3">
        <v>6</v>
      </c>
      <c r="G6">
        <f>_xlfn.LET(
    _xlpm.pos, B6,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>COUNTIFS($F$3:$F$980,"&lt;"&amp;$F7)+1</f>
        <v>5</v>
      </c>
      <c r="C7" t="s">
        <v>107</v>
      </c>
      <c r="D7" t="s">
        <v>108</v>
      </c>
      <c r="E7" s="3" t="s">
        <v>109</v>
      </c>
      <c r="F7" s="3">
        <v>8</v>
      </c>
      <c r="G7">
        <f>_xlfn.LET(
    _xlpm.pos, B7,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>COUNTIFS($F$3:$F$980,"&lt;"&amp;$F8)+1</f>
        <v>6</v>
      </c>
      <c r="C8" t="s">
        <v>24</v>
      </c>
      <c r="D8" t="s">
        <v>18</v>
      </c>
      <c r="E8" s="3" t="s">
        <v>25</v>
      </c>
      <c r="F8" s="3">
        <v>12</v>
      </c>
      <c r="G8">
        <f>_xlfn.LET(
    _xlpm.pos, B8,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5222-D87A-4075-8BB1-C079F34F1E81}">
  <dimension ref="B2:G17"/>
  <sheetViews>
    <sheetView workbookViewId="0">
      <selection activeCell="C28" sqref="C28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v>2</v>
      </c>
      <c r="C3" t="s">
        <v>77</v>
      </c>
      <c r="D3" t="s">
        <v>4</v>
      </c>
      <c r="E3" s="3" t="s">
        <v>20</v>
      </c>
      <c r="F3" s="3">
        <v>-6</v>
      </c>
      <c r="G3">
        <f>_xlfn.LET(
    _xlpm.pos, B3,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4" spans="2:7" x14ac:dyDescent="0.35">
      <c r="B4">
        <f>COUNTIFS($F$3:$F$989,"&lt;"&amp;$F4)+1</f>
        <v>1</v>
      </c>
      <c r="C4" t="s">
        <v>89</v>
      </c>
      <c r="D4" t="s">
        <v>4</v>
      </c>
      <c r="E4" s="3" t="s">
        <v>90</v>
      </c>
      <c r="F4" s="3">
        <v>-6</v>
      </c>
      <c r="G4">
        <f>_xlfn.LET(
    _xlpm.pos, B4,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5" spans="2:7" x14ac:dyDescent="0.35">
      <c r="B5">
        <f>COUNTIFS($F$3:$F$989,"&lt;"&amp;$F5)+1</f>
        <v>3</v>
      </c>
      <c r="C5" t="s">
        <v>62</v>
      </c>
      <c r="D5" t="s">
        <v>4</v>
      </c>
      <c r="E5" s="3" t="s">
        <v>63</v>
      </c>
      <c r="F5" s="3">
        <v>-4</v>
      </c>
      <c r="G5">
        <f>_xlfn.LET(
    _xlpm.pos, B5,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>COUNTIFS($F$3:$F$989,"&lt;"&amp;$F6)+1</f>
        <v>4</v>
      </c>
      <c r="C6" t="s">
        <v>93</v>
      </c>
      <c r="D6" t="s">
        <v>4</v>
      </c>
      <c r="E6" s="3" t="s">
        <v>94</v>
      </c>
      <c r="F6" s="3">
        <v>-2</v>
      </c>
      <c r="G6">
        <f>_xlfn.LET(
    _xlpm.pos, B6,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>COUNTIFS($F$3:$F$989,"&lt;"&amp;$F7)+1</f>
        <v>5</v>
      </c>
      <c r="C7" t="s">
        <v>81</v>
      </c>
      <c r="D7" t="s">
        <v>4</v>
      </c>
      <c r="E7" s="3" t="s">
        <v>82</v>
      </c>
      <c r="F7" s="3">
        <v>-1</v>
      </c>
      <c r="G7">
        <f>_xlfn.LET(
    _xlpm.pos, B7,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>COUNTIFS($F$3:$F$989,"&lt;"&amp;$F8)+1</f>
        <v>6</v>
      </c>
      <c r="C8" t="s">
        <v>40</v>
      </c>
      <c r="D8" t="s">
        <v>18</v>
      </c>
      <c r="E8" s="3" t="s">
        <v>58</v>
      </c>
      <c r="F8" s="3">
        <v>0</v>
      </c>
      <c r="G8">
        <f>_xlfn.LET(
    _xlpm.pos, B8,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9" spans="2:7" x14ac:dyDescent="0.35">
      <c r="B9">
        <f>COUNTIFS($F$3:$F$989,"&lt;"&amp;$F9)+1</f>
        <v>7</v>
      </c>
      <c r="C9" t="s">
        <v>87</v>
      </c>
      <c r="D9" t="s">
        <v>4</v>
      </c>
      <c r="E9" s="3" t="s">
        <v>88</v>
      </c>
      <c r="F9" s="3">
        <v>2</v>
      </c>
      <c r="G9">
        <f>_xlfn.LET(
    _xlpm.pos, B9,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>COUNTIFS($F$3:$F$989,"&lt;"&amp;$F10)+1</f>
        <v>8</v>
      </c>
      <c r="C10" t="s">
        <v>8</v>
      </c>
      <c r="D10" t="s">
        <v>4</v>
      </c>
      <c r="E10" s="3" t="s">
        <v>9</v>
      </c>
      <c r="F10" s="3">
        <v>3</v>
      </c>
      <c r="G10">
        <f>_xlfn.LET(
    _xlpm.pos, B10,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x14ac:dyDescent="0.35">
      <c r="B11">
        <f>COUNTIFS($F$3:$F$989,"&lt;"&amp;$F11)+1</f>
        <v>9</v>
      </c>
      <c r="C11" t="s">
        <v>141</v>
      </c>
      <c r="D11" t="s">
        <v>4</v>
      </c>
      <c r="E11" s="3" t="s">
        <v>143</v>
      </c>
      <c r="F11" s="3">
        <v>7</v>
      </c>
      <c r="G11">
        <f>_xlfn.LET(
    _xlpm.pos, B11,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2" spans="2:7" x14ac:dyDescent="0.35">
      <c r="B12">
        <f>COUNTIFS($F$3:$F$989,"&lt;"&amp;$F12)+1</f>
        <v>9</v>
      </c>
      <c r="C12" t="s">
        <v>85</v>
      </c>
      <c r="D12" t="s">
        <v>4</v>
      </c>
      <c r="E12" s="3" t="s">
        <v>86</v>
      </c>
      <c r="F12" s="3">
        <v>7</v>
      </c>
      <c r="G12">
        <f>_xlfn.LET(
    _xlpm.pos, B12,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3" spans="2:7" x14ac:dyDescent="0.35">
      <c r="B13">
        <f>COUNTIFS($F$3:$F$989,"&lt;"&amp;$F13)+1</f>
        <v>11</v>
      </c>
      <c r="C13" t="s">
        <v>107</v>
      </c>
      <c r="D13" t="s">
        <v>108</v>
      </c>
      <c r="E13" s="3" t="s">
        <v>109</v>
      </c>
      <c r="F13" s="3">
        <v>8</v>
      </c>
      <c r="G13">
        <f>_xlfn.LET(
    _xlpm.pos, B13,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4" spans="2:7" x14ac:dyDescent="0.35">
      <c r="B14">
        <f>COUNTIFS($F$3:$F$989,"&lt;"&amp;$F14)+1</f>
        <v>12</v>
      </c>
      <c r="C14" t="s">
        <v>75</v>
      </c>
      <c r="D14" t="s">
        <v>4</v>
      </c>
      <c r="E14" s="3" t="s">
        <v>76</v>
      </c>
      <c r="F14" s="3">
        <v>9</v>
      </c>
      <c r="G14">
        <f>_xlfn.LET(
    _xlpm.pos, B14,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>COUNTIFS($F$3:$F$989,"&lt;"&amp;$F15)+1</f>
        <v>13</v>
      </c>
      <c r="C15" t="s">
        <v>142</v>
      </c>
      <c r="D15" t="s">
        <v>4</v>
      </c>
      <c r="E15" s="3" t="s">
        <v>144</v>
      </c>
      <c r="F15" s="3">
        <v>11</v>
      </c>
      <c r="G15" s="5">
        <f>_xlfn.LET(
    _xlpm.pos, B15,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16" spans="2:7" x14ac:dyDescent="0.35">
      <c r="B16">
        <f>COUNTIFS($F$3:$F$989,"&lt;"&amp;$F16)+1</f>
        <v>14</v>
      </c>
      <c r="C16" t="s">
        <v>137</v>
      </c>
      <c r="D16" t="s">
        <v>4</v>
      </c>
      <c r="E16" s="3" t="s">
        <v>138</v>
      </c>
      <c r="F16" s="3">
        <v>14</v>
      </c>
      <c r="G16">
        <f>_xlfn.LET(
    _xlpm.pos, B16,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7" spans="2:7" x14ac:dyDescent="0.35">
      <c r="B17">
        <f>COUNTIFS($F$3:$F$989,"&lt;"&amp;$F17)+1</f>
        <v>15</v>
      </c>
      <c r="C17" t="s">
        <v>105</v>
      </c>
      <c r="D17" t="s">
        <v>4</v>
      </c>
      <c r="E17" s="3" t="s">
        <v>106</v>
      </c>
      <c r="F17" s="3">
        <v>15</v>
      </c>
      <c r="G17" s="5">
        <f>_xlfn.LET(
    _xlpm.pos, B17,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003C-C1F4-4520-8EE6-BBFD1C1BD722}">
  <dimension ref="B2:G15"/>
  <sheetViews>
    <sheetView workbookViewId="0">
      <selection activeCell="B3" sqref="B3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 t="shared" ref="B3:B15" si="0">COUNTIFS($F$3:$F$983,"&lt;"&amp;$F3)+1</f>
        <v>1</v>
      </c>
      <c r="C3" t="s">
        <v>30</v>
      </c>
      <c r="D3" t="s">
        <v>4</v>
      </c>
      <c r="E3" t="s">
        <v>31</v>
      </c>
      <c r="F3">
        <v>-9</v>
      </c>
      <c r="G3">
        <f>_xlfn.LET(
    _xlpm.pos, B3,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2</v>
      </c>
      <c r="C4" t="s">
        <v>74</v>
      </c>
      <c r="D4" t="s">
        <v>4</v>
      </c>
      <c r="E4" t="s">
        <v>53</v>
      </c>
      <c r="F4">
        <v>-4</v>
      </c>
      <c r="G4">
        <f>_xlfn.LET(
    _xlpm.pos, B4,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 t="shared" si="0"/>
        <v>3</v>
      </c>
      <c r="C5" t="s">
        <v>56</v>
      </c>
      <c r="D5" t="s">
        <v>18</v>
      </c>
      <c r="E5" t="s">
        <v>57</v>
      </c>
      <c r="F5">
        <v>-2</v>
      </c>
      <c r="G5">
        <f>_xlfn.LET(
    _xlpm.pos, B5,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26</v>
      </c>
      <c r="D6" t="s">
        <v>4</v>
      </c>
      <c r="E6" t="s">
        <v>27</v>
      </c>
      <c r="F6">
        <v>-1</v>
      </c>
      <c r="G6">
        <f>_xlfn.LET(
    _xlpm.pos, B6,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14</v>
      </c>
      <c r="D7" t="s">
        <v>4</v>
      </c>
      <c r="E7" t="s">
        <v>15</v>
      </c>
      <c r="F7">
        <v>0</v>
      </c>
      <c r="G7">
        <f>_xlfn.LET(
    _xlpm.pos, B7,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8" spans="2:7" x14ac:dyDescent="0.35">
      <c r="B8">
        <f t="shared" si="0"/>
        <v>5</v>
      </c>
      <c r="C8" t="s">
        <v>77</v>
      </c>
      <c r="D8" t="s">
        <v>4</v>
      </c>
      <c r="E8" t="s">
        <v>20</v>
      </c>
      <c r="F8">
        <v>0</v>
      </c>
      <c r="G8">
        <f>_xlfn.LET(
    _xlpm.pos, B8,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9" spans="2:7" ht="15" customHeight="1" x14ac:dyDescent="0.35">
      <c r="B9">
        <f t="shared" si="0"/>
        <v>7</v>
      </c>
      <c r="C9" t="s">
        <v>8</v>
      </c>
      <c r="D9" t="s">
        <v>4</v>
      </c>
      <c r="E9" t="s">
        <v>9</v>
      </c>
      <c r="F9">
        <v>1</v>
      </c>
      <c r="G9">
        <f>_xlfn.LET(
    _xlpm.pos, B9,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8</v>
      </c>
      <c r="C10" t="s">
        <v>62</v>
      </c>
      <c r="D10" t="s">
        <v>4</v>
      </c>
      <c r="E10" t="s">
        <v>63</v>
      </c>
      <c r="F10">
        <v>3</v>
      </c>
      <c r="G10">
        <f>_xlfn.LET(
    _xlpm.pos, B10,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x14ac:dyDescent="0.35">
      <c r="B11">
        <f t="shared" si="0"/>
        <v>9</v>
      </c>
      <c r="C11" t="s">
        <v>12</v>
      </c>
      <c r="D11" t="s">
        <v>4</v>
      </c>
      <c r="E11" t="s">
        <v>13</v>
      </c>
      <c r="F11">
        <v>5</v>
      </c>
      <c r="G11">
        <f>_xlfn.LET(
    _xlpm.pos, B11,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2" spans="2:7" x14ac:dyDescent="0.35">
      <c r="B12">
        <f t="shared" si="0"/>
        <v>10</v>
      </c>
      <c r="C12" t="s">
        <v>75</v>
      </c>
      <c r="D12" t="s">
        <v>4</v>
      </c>
      <c r="E12" t="s">
        <v>76</v>
      </c>
      <c r="F12">
        <v>6</v>
      </c>
      <c r="G12">
        <f>_xlfn.LET(
    _xlpm.pos, B12,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135</v>
      </c>
    </row>
    <row r="13" spans="2:7" x14ac:dyDescent="0.35">
      <c r="B13">
        <f t="shared" si="0"/>
        <v>10</v>
      </c>
      <c r="C13" t="s">
        <v>40</v>
      </c>
      <c r="D13" t="s">
        <v>18</v>
      </c>
      <c r="E13" t="s">
        <v>58</v>
      </c>
      <c r="F13">
        <v>6</v>
      </c>
      <c r="G13">
        <f>_xlfn.LET(
    _xlpm.pos, B13,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135</v>
      </c>
    </row>
    <row r="14" spans="2:7" x14ac:dyDescent="0.35">
      <c r="B14">
        <f t="shared" si="0"/>
        <v>12</v>
      </c>
      <c r="C14" t="s">
        <v>41</v>
      </c>
      <c r="D14" t="s">
        <v>4</v>
      </c>
      <c r="E14" t="s">
        <v>42</v>
      </c>
      <c r="F14">
        <v>7</v>
      </c>
      <c r="G14">
        <f>_xlfn.LET(
    _xlpm.pos, B14,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 t="shared" si="0"/>
        <v>13</v>
      </c>
      <c r="C15" t="s">
        <v>28</v>
      </c>
      <c r="D15" t="s">
        <v>4</v>
      </c>
      <c r="E15" t="s">
        <v>29</v>
      </c>
      <c r="F15">
        <v>11</v>
      </c>
      <c r="G15">
        <f>_xlfn.LET(
    _xlpm.pos, B15,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</sheetData>
  <sortState xmlns:xlrd2="http://schemas.microsoft.com/office/spreadsheetml/2017/richdata2" ref="B3:G15">
    <sortCondition ref="B2:B15"/>
  </sortState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AEBE-C683-4065-8D88-5DD95BEB4247}">
  <dimension ref="B2:G4"/>
  <sheetViews>
    <sheetView workbookViewId="0">
      <selection activeCell="G25" sqref="G25"/>
    </sheetView>
  </sheetViews>
  <sheetFormatPr baseColWidth="10" defaultRowHeight="14.5" x14ac:dyDescent="0.35"/>
  <cols>
    <col min="4" max="4" width="18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>COUNTIFS($F$3:$F$972,"&lt;"&amp;$F3)+1</f>
        <v>1</v>
      </c>
      <c r="C3" t="s">
        <v>56</v>
      </c>
      <c r="D3" t="s">
        <v>18</v>
      </c>
      <c r="E3" t="s">
        <v>57</v>
      </c>
      <c r="F3">
        <v>-2</v>
      </c>
      <c r="G3">
        <f>_xlfn.LET(
    _xlpm.pos, B3,
    _xlpm.count_pos, COUNTIF($B$2:$B$983,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COUNTIFS($F$3:$F$972,"&lt;"&amp;$F4)+1</f>
        <v>2</v>
      </c>
      <c r="C4" t="s">
        <v>40</v>
      </c>
      <c r="D4" t="s">
        <v>18</v>
      </c>
      <c r="E4" t="s">
        <v>58</v>
      </c>
      <c r="F4">
        <v>6</v>
      </c>
      <c r="G4">
        <f>_xlfn.LET(
    _xlpm.pos, B4,
    _xlpm.count_pos, COUNTIF($B$2:$B$983,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947E-37F1-42A5-AD24-DFF76573A960}">
  <dimension ref="B2:G10"/>
  <sheetViews>
    <sheetView workbookViewId="0">
      <selection activeCell="E22" sqref="E22"/>
    </sheetView>
  </sheetViews>
  <sheetFormatPr baseColWidth="10" defaultRowHeight="14.5" x14ac:dyDescent="0.35"/>
  <cols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v>2</v>
      </c>
      <c r="C3" t="s">
        <v>14</v>
      </c>
      <c r="D3" t="s">
        <v>4</v>
      </c>
      <c r="E3" t="s">
        <v>15</v>
      </c>
      <c r="F3">
        <v>0</v>
      </c>
      <c r="G3">
        <f>_xlfn.LET(
    _xlpm.pos, B3,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4" spans="2:7" x14ac:dyDescent="0.35">
      <c r="B4">
        <f t="shared" ref="B4:B10" si="0">COUNTIFS($F$3:$F$978,"&lt;"&amp;$F4)+1</f>
        <v>1</v>
      </c>
      <c r="C4" t="s">
        <v>77</v>
      </c>
      <c r="D4" t="s">
        <v>4</v>
      </c>
      <c r="E4" t="s">
        <v>20</v>
      </c>
      <c r="F4">
        <v>0</v>
      </c>
      <c r="G4">
        <f>_xlfn.LET(
    _xlpm.pos, B4,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5" spans="2:7" x14ac:dyDescent="0.35">
      <c r="B5">
        <f t="shared" si="0"/>
        <v>3</v>
      </c>
      <c r="C5" t="s">
        <v>8</v>
      </c>
      <c r="D5" t="s">
        <v>4</v>
      </c>
      <c r="E5" t="s">
        <v>9</v>
      </c>
      <c r="F5">
        <v>1</v>
      </c>
      <c r="G5">
        <f>_xlfn.LET(
    _xlpm.pos, B5,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62</v>
      </c>
      <c r="D6" t="s">
        <v>4</v>
      </c>
      <c r="E6" t="s">
        <v>63</v>
      </c>
      <c r="F6">
        <v>3</v>
      </c>
      <c r="G6">
        <f>_xlfn.LET(
    _xlpm.pos, B6,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12</v>
      </c>
      <c r="D7" t="s">
        <v>4</v>
      </c>
      <c r="E7" t="s">
        <v>13</v>
      </c>
      <c r="F7">
        <v>5</v>
      </c>
      <c r="G7">
        <f>_xlfn.LET(
    _xlpm.pos, B7,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75</v>
      </c>
      <c r="D8" t="s">
        <v>4</v>
      </c>
      <c r="E8" t="s">
        <v>76</v>
      </c>
      <c r="F8">
        <v>6</v>
      </c>
      <c r="G8">
        <f>_xlfn.LET(
    _xlpm.pos, B8,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9" spans="2:7" x14ac:dyDescent="0.35">
      <c r="B9">
        <f t="shared" si="0"/>
        <v>6</v>
      </c>
      <c r="C9" t="s">
        <v>40</v>
      </c>
      <c r="D9" t="s">
        <v>18</v>
      </c>
      <c r="E9" t="s">
        <v>58</v>
      </c>
      <c r="F9">
        <v>6</v>
      </c>
      <c r="G9">
        <f>_xlfn.LET(
    _xlpm.pos, B9,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10" spans="2:7" x14ac:dyDescent="0.35">
      <c r="B10">
        <f t="shared" si="0"/>
        <v>8</v>
      </c>
      <c r="C10" t="s">
        <v>41</v>
      </c>
      <c r="D10" t="s">
        <v>4</v>
      </c>
      <c r="E10" t="s">
        <v>42</v>
      </c>
      <c r="F10">
        <v>7</v>
      </c>
      <c r="G10">
        <f>_xlfn.LET(
    _xlpm.pos, B10,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454E-1999-45F1-AA6D-411D77080A4B}">
  <sheetPr codeName="Hoja5"/>
  <dimension ref="A1:D126"/>
  <sheetViews>
    <sheetView topLeftCell="A11" zoomScale="70" zoomScaleNormal="70" workbookViewId="0">
      <selection sqref="A1:B66"/>
    </sheetView>
  </sheetViews>
  <sheetFormatPr baseColWidth="10" defaultRowHeight="14.5" x14ac:dyDescent="0.35"/>
  <sheetData>
    <row r="1" spans="1:4" x14ac:dyDescent="0.35">
      <c r="A1" s="1" t="s">
        <v>43</v>
      </c>
      <c r="B1" s="2" t="s">
        <v>44</v>
      </c>
      <c r="C1" s="2" t="s">
        <v>45</v>
      </c>
      <c r="D1" s="2" t="s">
        <v>46</v>
      </c>
    </row>
    <row r="2" spans="1:4" x14ac:dyDescent="0.35">
      <c r="A2" s="1">
        <v>1</v>
      </c>
      <c r="B2" s="1">
        <v>250</v>
      </c>
      <c r="C2" s="1">
        <v>500</v>
      </c>
      <c r="D2" s="1">
        <v>250</v>
      </c>
    </row>
    <row r="3" spans="1:4" x14ac:dyDescent="0.35">
      <c r="A3" s="1">
        <v>2</v>
      </c>
      <c r="B3" s="1">
        <v>230</v>
      </c>
      <c r="C3" s="1">
        <v>475</v>
      </c>
      <c r="D3" s="1">
        <v>230</v>
      </c>
    </row>
    <row r="4" spans="1:4" x14ac:dyDescent="0.35">
      <c r="A4" s="1">
        <v>3</v>
      </c>
      <c r="B4" s="1">
        <v>215</v>
      </c>
      <c r="C4" s="1">
        <v>450</v>
      </c>
      <c r="D4" s="1">
        <v>215</v>
      </c>
    </row>
    <row r="5" spans="1:4" x14ac:dyDescent="0.35">
      <c r="A5" s="1">
        <v>4</v>
      </c>
      <c r="B5" s="1">
        <v>200</v>
      </c>
      <c r="C5" s="1">
        <v>425</v>
      </c>
      <c r="D5" s="1">
        <v>200</v>
      </c>
    </row>
    <row r="6" spans="1:4" x14ac:dyDescent="0.35">
      <c r="A6" s="1">
        <v>5</v>
      </c>
      <c r="B6" s="1">
        <v>190</v>
      </c>
      <c r="C6" s="1">
        <v>400</v>
      </c>
      <c r="D6" s="1">
        <v>190</v>
      </c>
    </row>
    <row r="7" spans="1:4" x14ac:dyDescent="0.35">
      <c r="A7" s="1">
        <v>6</v>
      </c>
      <c r="B7" s="1">
        <v>180</v>
      </c>
      <c r="C7" s="1">
        <v>375</v>
      </c>
      <c r="D7" s="1">
        <v>180</v>
      </c>
    </row>
    <row r="8" spans="1:4" x14ac:dyDescent="0.35">
      <c r="A8" s="1">
        <v>7</v>
      </c>
      <c r="B8" s="1">
        <v>170</v>
      </c>
      <c r="C8" s="1">
        <v>350</v>
      </c>
      <c r="D8" s="1">
        <v>170</v>
      </c>
    </row>
    <row r="9" spans="1:4" x14ac:dyDescent="0.35">
      <c r="A9" s="1">
        <v>8</v>
      </c>
      <c r="B9" s="1">
        <v>160</v>
      </c>
      <c r="C9" s="1">
        <v>325</v>
      </c>
      <c r="D9" s="1">
        <v>160</v>
      </c>
    </row>
    <row r="10" spans="1:4" x14ac:dyDescent="0.35">
      <c r="A10" s="1">
        <v>9</v>
      </c>
      <c r="B10" s="1">
        <v>150</v>
      </c>
      <c r="C10" s="1">
        <v>300</v>
      </c>
      <c r="D10" s="1">
        <v>150</v>
      </c>
    </row>
    <row r="11" spans="1:4" x14ac:dyDescent="0.35">
      <c r="A11" s="1">
        <v>10</v>
      </c>
      <c r="B11" s="1">
        <v>140</v>
      </c>
      <c r="C11" s="1">
        <v>280</v>
      </c>
      <c r="D11" s="1">
        <v>140</v>
      </c>
    </row>
    <row r="12" spans="1:4" x14ac:dyDescent="0.35">
      <c r="A12" s="1">
        <v>11</v>
      </c>
      <c r="B12" s="1">
        <v>130</v>
      </c>
      <c r="C12" s="1">
        <v>260</v>
      </c>
      <c r="D12" s="1">
        <v>130</v>
      </c>
    </row>
    <row r="13" spans="1:4" x14ac:dyDescent="0.35">
      <c r="A13" s="1">
        <v>12</v>
      </c>
      <c r="B13" s="1">
        <v>120</v>
      </c>
      <c r="C13" s="1">
        <v>240</v>
      </c>
      <c r="D13" s="1">
        <v>120</v>
      </c>
    </row>
    <row r="14" spans="1:4" x14ac:dyDescent="0.35">
      <c r="A14" s="1">
        <v>13</v>
      </c>
      <c r="B14" s="1">
        <v>110</v>
      </c>
      <c r="C14" s="1">
        <v>220</v>
      </c>
      <c r="D14" s="1">
        <v>110</v>
      </c>
    </row>
    <row r="15" spans="1:4" x14ac:dyDescent="0.35">
      <c r="A15" s="1">
        <v>14</v>
      </c>
      <c r="B15" s="1">
        <v>100</v>
      </c>
      <c r="C15" s="1">
        <v>200</v>
      </c>
      <c r="D15" s="1">
        <v>100</v>
      </c>
    </row>
    <row r="16" spans="1:4" x14ac:dyDescent="0.35">
      <c r="A16" s="1">
        <v>15</v>
      </c>
      <c r="B16" s="1">
        <v>95</v>
      </c>
      <c r="C16" s="1">
        <v>190</v>
      </c>
      <c r="D16" s="1">
        <v>95</v>
      </c>
    </row>
    <row r="17" spans="1:4" x14ac:dyDescent="0.35">
      <c r="A17" s="1">
        <v>16</v>
      </c>
      <c r="B17" s="1">
        <v>90</v>
      </c>
      <c r="C17" s="1">
        <v>180</v>
      </c>
      <c r="D17" s="1">
        <v>90</v>
      </c>
    </row>
    <row r="18" spans="1:4" x14ac:dyDescent="0.35">
      <c r="A18" s="1">
        <v>17</v>
      </c>
      <c r="B18" s="1">
        <v>85</v>
      </c>
      <c r="C18" s="1">
        <v>170</v>
      </c>
      <c r="D18" s="1">
        <v>85</v>
      </c>
    </row>
    <row r="19" spans="1:4" x14ac:dyDescent="0.35">
      <c r="A19" s="1">
        <v>18</v>
      </c>
      <c r="B19" s="1">
        <v>80</v>
      </c>
      <c r="C19" s="1">
        <v>160</v>
      </c>
      <c r="D19" s="1">
        <v>80</v>
      </c>
    </row>
    <row r="20" spans="1:4" x14ac:dyDescent="0.35">
      <c r="A20" s="1">
        <v>19</v>
      </c>
      <c r="B20" s="1">
        <v>75</v>
      </c>
      <c r="C20" s="1">
        <v>150</v>
      </c>
      <c r="D20" s="1">
        <v>75</v>
      </c>
    </row>
    <row r="21" spans="1:4" x14ac:dyDescent="0.35">
      <c r="A21" s="1">
        <v>20</v>
      </c>
      <c r="B21" s="1">
        <v>70</v>
      </c>
      <c r="C21" s="1">
        <v>140</v>
      </c>
      <c r="D21" s="1">
        <v>70</v>
      </c>
    </row>
    <row r="22" spans="1:4" x14ac:dyDescent="0.35">
      <c r="A22" s="1">
        <v>21</v>
      </c>
      <c r="B22" s="1">
        <v>66</v>
      </c>
      <c r="C22" s="1">
        <v>132</v>
      </c>
      <c r="D22" s="1">
        <v>66</v>
      </c>
    </row>
    <row r="23" spans="1:4" x14ac:dyDescent="0.35">
      <c r="A23" s="1">
        <v>22</v>
      </c>
      <c r="B23" s="1">
        <v>62</v>
      </c>
      <c r="C23" s="1">
        <v>124</v>
      </c>
      <c r="D23" s="1">
        <v>62</v>
      </c>
    </row>
    <row r="24" spans="1:4" x14ac:dyDescent="0.35">
      <c r="A24" s="1">
        <v>23</v>
      </c>
      <c r="B24" s="1">
        <v>58</v>
      </c>
      <c r="C24" s="1">
        <v>116</v>
      </c>
      <c r="D24" s="1">
        <v>58</v>
      </c>
    </row>
    <row r="25" spans="1:4" x14ac:dyDescent="0.35">
      <c r="A25" s="1">
        <v>24</v>
      </c>
      <c r="B25" s="1">
        <v>54</v>
      </c>
      <c r="C25" s="1">
        <v>108</v>
      </c>
      <c r="D25" s="1">
        <v>54</v>
      </c>
    </row>
    <row r="26" spans="1:4" x14ac:dyDescent="0.35">
      <c r="A26" s="1">
        <v>25</v>
      </c>
      <c r="B26" s="1">
        <v>50</v>
      </c>
      <c r="C26" s="1">
        <v>100</v>
      </c>
      <c r="D26" s="1">
        <v>50</v>
      </c>
    </row>
    <row r="27" spans="1:4" x14ac:dyDescent="0.35">
      <c r="A27" s="1">
        <v>26</v>
      </c>
      <c r="B27" s="1">
        <v>47</v>
      </c>
      <c r="C27" s="1">
        <v>94</v>
      </c>
      <c r="D27" s="1">
        <v>47</v>
      </c>
    </row>
    <row r="28" spans="1:4" x14ac:dyDescent="0.35">
      <c r="A28" s="1">
        <v>27</v>
      </c>
      <c r="B28" s="1">
        <v>44</v>
      </c>
      <c r="C28" s="1">
        <v>88</v>
      </c>
      <c r="D28" s="1">
        <v>44</v>
      </c>
    </row>
    <row r="29" spans="1:4" x14ac:dyDescent="0.35">
      <c r="A29" s="1">
        <v>28</v>
      </c>
      <c r="B29" s="1">
        <v>41</v>
      </c>
      <c r="C29" s="1">
        <v>82</v>
      </c>
      <c r="D29" s="1">
        <v>41</v>
      </c>
    </row>
    <row r="30" spans="1:4" x14ac:dyDescent="0.35">
      <c r="A30" s="1">
        <v>29</v>
      </c>
      <c r="B30" s="1">
        <v>38</v>
      </c>
      <c r="C30" s="1">
        <v>76</v>
      </c>
      <c r="D30" s="1">
        <v>38</v>
      </c>
    </row>
    <row r="31" spans="1:4" x14ac:dyDescent="0.35">
      <c r="A31" s="1">
        <v>30</v>
      </c>
      <c r="B31" s="1">
        <v>35</v>
      </c>
      <c r="C31" s="1">
        <v>70</v>
      </c>
      <c r="D31" s="1">
        <v>35</v>
      </c>
    </row>
    <row r="32" spans="1:4" x14ac:dyDescent="0.35">
      <c r="A32" s="1">
        <v>31</v>
      </c>
      <c r="B32" s="1">
        <v>33</v>
      </c>
      <c r="C32" s="1">
        <v>66</v>
      </c>
      <c r="D32" s="1">
        <v>33</v>
      </c>
    </row>
    <row r="33" spans="1:4" x14ac:dyDescent="0.35">
      <c r="A33" s="1">
        <v>32</v>
      </c>
      <c r="B33" s="1">
        <v>31</v>
      </c>
      <c r="C33" s="1">
        <v>62</v>
      </c>
      <c r="D33" s="1">
        <v>31</v>
      </c>
    </row>
    <row r="34" spans="1:4" x14ac:dyDescent="0.35">
      <c r="A34" s="1">
        <v>33</v>
      </c>
      <c r="B34" s="1">
        <v>29</v>
      </c>
      <c r="C34" s="1">
        <v>58</v>
      </c>
      <c r="D34" s="1">
        <v>29</v>
      </c>
    </row>
    <row r="35" spans="1:4" x14ac:dyDescent="0.35">
      <c r="A35" s="1">
        <v>34</v>
      </c>
      <c r="B35" s="1">
        <v>27</v>
      </c>
      <c r="C35" s="1">
        <v>54</v>
      </c>
      <c r="D35" s="1">
        <v>27</v>
      </c>
    </row>
    <row r="36" spans="1:4" x14ac:dyDescent="0.35">
      <c r="A36" s="1">
        <v>35</v>
      </c>
      <c r="B36" s="1">
        <v>25</v>
      </c>
      <c r="C36" s="1">
        <v>50</v>
      </c>
      <c r="D36" s="1">
        <v>25</v>
      </c>
    </row>
    <row r="37" spans="1:4" x14ac:dyDescent="0.35">
      <c r="A37" s="1">
        <v>36</v>
      </c>
      <c r="B37" s="1">
        <v>24</v>
      </c>
      <c r="C37" s="1">
        <v>48</v>
      </c>
      <c r="D37" s="1">
        <v>24</v>
      </c>
    </row>
    <row r="38" spans="1:4" x14ac:dyDescent="0.35">
      <c r="A38" s="1">
        <v>37</v>
      </c>
      <c r="B38" s="1">
        <v>23</v>
      </c>
      <c r="C38" s="1">
        <v>46</v>
      </c>
      <c r="D38" s="1">
        <v>23</v>
      </c>
    </row>
    <row r="39" spans="1:4" x14ac:dyDescent="0.35">
      <c r="A39" s="1">
        <v>38</v>
      </c>
      <c r="B39" s="1">
        <v>22</v>
      </c>
      <c r="C39" s="1">
        <v>44</v>
      </c>
      <c r="D39" s="1">
        <v>22</v>
      </c>
    </row>
    <row r="40" spans="1:4" x14ac:dyDescent="0.35">
      <c r="A40" s="1">
        <v>39</v>
      </c>
      <c r="B40" s="1">
        <v>21</v>
      </c>
      <c r="C40" s="1">
        <v>42</v>
      </c>
      <c r="D40" s="1">
        <v>21</v>
      </c>
    </row>
    <row r="41" spans="1:4" x14ac:dyDescent="0.35">
      <c r="A41" s="1">
        <v>40</v>
      </c>
      <c r="B41" s="1">
        <v>20</v>
      </c>
      <c r="C41" s="1">
        <v>40</v>
      </c>
      <c r="D41" s="1">
        <v>20</v>
      </c>
    </row>
    <row r="42" spans="1:4" x14ac:dyDescent="0.35">
      <c r="A42" s="1">
        <v>41</v>
      </c>
      <c r="B42" s="1">
        <v>19</v>
      </c>
      <c r="C42" s="1">
        <v>38</v>
      </c>
      <c r="D42" s="1">
        <v>19</v>
      </c>
    </row>
    <row r="43" spans="1:4" x14ac:dyDescent="0.35">
      <c r="A43" s="1">
        <v>42</v>
      </c>
      <c r="B43" s="1">
        <v>18</v>
      </c>
      <c r="C43" s="1">
        <v>36</v>
      </c>
      <c r="D43" s="1">
        <v>18</v>
      </c>
    </row>
    <row r="44" spans="1:4" x14ac:dyDescent="0.35">
      <c r="A44" s="1">
        <v>43</v>
      </c>
      <c r="B44" s="1">
        <v>17</v>
      </c>
      <c r="C44" s="1">
        <v>34</v>
      </c>
      <c r="D44" s="1">
        <v>17</v>
      </c>
    </row>
    <row r="45" spans="1:4" x14ac:dyDescent="0.35">
      <c r="A45" s="1">
        <v>44</v>
      </c>
      <c r="B45" s="1">
        <v>16</v>
      </c>
      <c r="C45" s="1">
        <v>32</v>
      </c>
      <c r="D45" s="1">
        <v>16</v>
      </c>
    </row>
    <row r="46" spans="1:4" x14ac:dyDescent="0.35">
      <c r="A46" s="1">
        <v>45</v>
      </c>
      <c r="B46" s="1">
        <v>15</v>
      </c>
      <c r="C46" s="1">
        <v>30</v>
      </c>
      <c r="D46" s="1">
        <v>15</v>
      </c>
    </row>
    <row r="47" spans="1:4" x14ac:dyDescent="0.35">
      <c r="A47" s="1">
        <v>46</v>
      </c>
      <c r="B47" s="1">
        <v>14</v>
      </c>
      <c r="C47" s="1">
        <v>28</v>
      </c>
      <c r="D47" s="1">
        <v>14</v>
      </c>
    </row>
    <row r="48" spans="1:4" x14ac:dyDescent="0.35">
      <c r="A48" s="1">
        <v>47</v>
      </c>
      <c r="B48" s="1">
        <v>13</v>
      </c>
      <c r="C48" s="1">
        <v>26</v>
      </c>
      <c r="D48" s="1">
        <v>13</v>
      </c>
    </row>
    <row r="49" spans="1:4" x14ac:dyDescent="0.35">
      <c r="A49" s="1">
        <v>48</v>
      </c>
      <c r="B49" s="1">
        <v>12</v>
      </c>
      <c r="C49" s="1">
        <v>24</v>
      </c>
      <c r="D49" s="1">
        <v>12</v>
      </c>
    </row>
    <row r="50" spans="1:4" x14ac:dyDescent="0.35">
      <c r="A50" s="1">
        <v>49</v>
      </c>
      <c r="B50" s="1">
        <v>11</v>
      </c>
      <c r="C50" s="1">
        <v>22</v>
      </c>
      <c r="D50" s="1">
        <v>11</v>
      </c>
    </row>
    <row r="51" spans="1:4" x14ac:dyDescent="0.35">
      <c r="A51" s="1">
        <v>50</v>
      </c>
      <c r="B51" s="1">
        <v>10</v>
      </c>
      <c r="C51" s="1">
        <v>20</v>
      </c>
      <c r="D51" s="1">
        <v>10</v>
      </c>
    </row>
    <row r="52" spans="1:4" x14ac:dyDescent="0.35">
      <c r="A52" s="1">
        <v>51</v>
      </c>
      <c r="B52" s="1">
        <v>9</v>
      </c>
      <c r="C52" s="1">
        <v>18</v>
      </c>
      <c r="D52" s="1">
        <v>9</v>
      </c>
    </row>
    <row r="53" spans="1:4" x14ac:dyDescent="0.35">
      <c r="A53" s="1">
        <v>52</v>
      </c>
      <c r="B53" s="1">
        <v>8</v>
      </c>
      <c r="C53" s="1">
        <v>16</v>
      </c>
      <c r="D53" s="1">
        <v>8</v>
      </c>
    </row>
    <row r="54" spans="1:4" x14ac:dyDescent="0.35">
      <c r="A54" s="1">
        <v>53</v>
      </c>
      <c r="B54" s="1">
        <v>7</v>
      </c>
      <c r="C54" s="1">
        <v>14</v>
      </c>
      <c r="D54" s="1">
        <v>7</v>
      </c>
    </row>
    <row r="55" spans="1:4" x14ac:dyDescent="0.35">
      <c r="A55" s="1">
        <v>54</v>
      </c>
      <c r="B55" s="1">
        <v>6</v>
      </c>
      <c r="C55" s="1">
        <v>12</v>
      </c>
      <c r="D55" s="1">
        <v>6</v>
      </c>
    </row>
    <row r="56" spans="1:4" x14ac:dyDescent="0.35">
      <c r="A56" s="1">
        <v>55</v>
      </c>
      <c r="B56" s="1">
        <v>5</v>
      </c>
      <c r="C56" s="1">
        <v>10</v>
      </c>
      <c r="D56" s="1">
        <v>5</v>
      </c>
    </row>
    <row r="57" spans="1:4" x14ac:dyDescent="0.35">
      <c r="A57" s="1">
        <v>56</v>
      </c>
      <c r="B57" s="1">
        <v>4</v>
      </c>
      <c r="C57" s="1">
        <v>8</v>
      </c>
      <c r="D57" s="1">
        <v>4</v>
      </c>
    </row>
    <row r="58" spans="1:4" x14ac:dyDescent="0.35">
      <c r="A58" s="1">
        <v>57</v>
      </c>
      <c r="B58" s="1">
        <v>3</v>
      </c>
      <c r="C58" s="1">
        <v>6</v>
      </c>
      <c r="D58" s="1">
        <v>3</v>
      </c>
    </row>
    <row r="59" spans="1:4" x14ac:dyDescent="0.35">
      <c r="A59" s="1">
        <v>58</v>
      </c>
      <c r="B59" s="1">
        <v>2</v>
      </c>
      <c r="C59" s="1">
        <v>4</v>
      </c>
      <c r="D59" s="1">
        <v>2</v>
      </c>
    </row>
    <row r="60" spans="1:4" x14ac:dyDescent="0.35">
      <c r="A60" s="1">
        <v>59</v>
      </c>
      <c r="B60" s="1">
        <v>1</v>
      </c>
      <c r="C60" s="1">
        <v>2</v>
      </c>
      <c r="D60" s="1">
        <v>1</v>
      </c>
    </row>
    <row r="61" spans="1:4" x14ac:dyDescent="0.35">
      <c r="A61" s="1">
        <v>60</v>
      </c>
      <c r="B61" s="1">
        <v>0</v>
      </c>
      <c r="C61" s="1">
        <v>1</v>
      </c>
      <c r="D61" s="1">
        <v>0</v>
      </c>
    </row>
    <row r="62" spans="1:4" x14ac:dyDescent="0.35">
      <c r="A62" s="1">
        <v>61</v>
      </c>
      <c r="B62" s="1">
        <v>0</v>
      </c>
      <c r="C62" s="1">
        <v>0</v>
      </c>
      <c r="D62" s="1">
        <v>0</v>
      </c>
    </row>
    <row r="63" spans="1:4" x14ac:dyDescent="0.35">
      <c r="A63" s="1">
        <v>62</v>
      </c>
      <c r="B63" s="1">
        <v>0</v>
      </c>
      <c r="C63" s="1">
        <v>0</v>
      </c>
      <c r="D63" s="1">
        <v>0</v>
      </c>
    </row>
    <row r="64" spans="1:4" x14ac:dyDescent="0.35">
      <c r="A64" s="1">
        <v>63</v>
      </c>
      <c r="B64" s="1">
        <v>0</v>
      </c>
      <c r="C64" s="1">
        <v>0</v>
      </c>
      <c r="D64" s="1">
        <v>0</v>
      </c>
    </row>
    <row r="65" spans="1:4" x14ac:dyDescent="0.35">
      <c r="A65" s="1">
        <v>64</v>
      </c>
      <c r="B65" s="1">
        <v>0</v>
      </c>
      <c r="C65" s="1">
        <v>0</v>
      </c>
      <c r="D65" s="1">
        <v>0</v>
      </c>
    </row>
    <row r="66" spans="1:4" x14ac:dyDescent="0.35">
      <c r="A66" s="1">
        <v>65</v>
      </c>
      <c r="B66" s="1">
        <v>0</v>
      </c>
      <c r="C66" s="1">
        <v>0</v>
      </c>
      <c r="D66" s="1">
        <v>0</v>
      </c>
    </row>
    <row r="67" spans="1:4" x14ac:dyDescent="0.35">
      <c r="A67" s="1">
        <v>66</v>
      </c>
      <c r="B67" s="1">
        <v>0</v>
      </c>
      <c r="C67" s="1">
        <v>0</v>
      </c>
      <c r="D67" s="1">
        <v>0</v>
      </c>
    </row>
    <row r="68" spans="1:4" x14ac:dyDescent="0.35">
      <c r="A68" s="1">
        <v>67</v>
      </c>
      <c r="B68" s="1">
        <v>0</v>
      </c>
      <c r="C68" s="1">
        <v>0</v>
      </c>
      <c r="D68" s="1">
        <v>0</v>
      </c>
    </row>
    <row r="69" spans="1:4" x14ac:dyDescent="0.35">
      <c r="A69" s="1">
        <v>68</v>
      </c>
      <c r="B69" s="1">
        <v>0</v>
      </c>
      <c r="C69" s="1">
        <v>0</v>
      </c>
      <c r="D69" s="1">
        <v>0</v>
      </c>
    </row>
    <row r="70" spans="1:4" x14ac:dyDescent="0.35">
      <c r="A70" s="1">
        <v>69</v>
      </c>
      <c r="B70" s="1">
        <v>0</v>
      </c>
      <c r="C70" s="1">
        <v>0</v>
      </c>
      <c r="D70" s="1">
        <v>0</v>
      </c>
    </row>
    <row r="71" spans="1:4" x14ac:dyDescent="0.35">
      <c r="A71" s="1">
        <v>70</v>
      </c>
      <c r="B71" s="1">
        <v>0</v>
      </c>
      <c r="C71" s="1">
        <v>0</v>
      </c>
      <c r="D71" s="1">
        <v>0</v>
      </c>
    </row>
    <row r="72" spans="1:4" x14ac:dyDescent="0.35">
      <c r="A72" s="1">
        <v>71</v>
      </c>
      <c r="B72" s="1">
        <v>0</v>
      </c>
      <c r="C72" s="1">
        <v>0</v>
      </c>
      <c r="D72" s="1">
        <v>0</v>
      </c>
    </row>
    <row r="73" spans="1:4" x14ac:dyDescent="0.35">
      <c r="A73" s="1">
        <v>72</v>
      </c>
      <c r="B73" s="1">
        <v>0</v>
      </c>
      <c r="C73" s="1">
        <v>0</v>
      </c>
      <c r="D73" s="1">
        <v>0</v>
      </c>
    </row>
    <row r="74" spans="1:4" x14ac:dyDescent="0.35">
      <c r="A74" s="1">
        <v>73</v>
      </c>
      <c r="B74" s="1">
        <v>0</v>
      </c>
      <c r="C74" s="1">
        <v>0</v>
      </c>
      <c r="D74" s="1">
        <v>0</v>
      </c>
    </row>
    <row r="75" spans="1:4" x14ac:dyDescent="0.35">
      <c r="A75" s="1">
        <v>74</v>
      </c>
      <c r="B75" s="1">
        <v>0</v>
      </c>
      <c r="C75" s="1">
        <v>0</v>
      </c>
      <c r="D75" s="1">
        <v>0</v>
      </c>
    </row>
    <row r="76" spans="1:4" x14ac:dyDescent="0.35">
      <c r="A76" s="1">
        <v>75</v>
      </c>
      <c r="B76" s="1">
        <v>0</v>
      </c>
      <c r="C76" s="1">
        <v>0</v>
      </c>
      <c r="D76" s="1">
        <v>0</v>
      </c>
    </row>
    <row r="77" spans="1:4" x14ac:dyDescent="0.35">
      <c r="A77" s="1">
        <v>76</v>
      </c>
      <c r="B77" s="1">
        <v>0</v>
      </c>
      <c r="C77" s="1">
        <v>0</v>
      </c>
      <c r="D77" s="1">
        <v>0</v>
      </c>
    </row>
    <row r="78" spans="1:4" x14ac:dyDescent="0.35">
      <c r="A78" s="1">
        <v>77</v>
      </c>
      <c r="B78" s="1">
        <v>0</v>
      </c>
      <c r="C78" s="1">
        <v>0</v>
      </c>
      <c r="D78" s="1">
        <v>0</v>
      </c>
    </row>
    <row r="79" spans="1:4" x14ac:dyDescent="0.35">
      <c r="A79" s="1">
        <v>78</v>
      </c>
      <c r="B79" s="1">
        <v>0</v>
      </c>
      <c r="C79" s="1">
        <v>0</v>
      </c>
      <c r="D79" s="1">
        <v>0</v>
      </c>
    </row>
    <row r="80" spans="1:4" x14ac:dyDescent="0.35">
      <c r="A80" s="1">
        <v>79</v>
      </c>
      <c r="B80" s="1">
        <v>0</v>
      </c>
      <c r="C80" s="1">
        <v>0</v>
      </c>
      <c r="D80" s="1">
        <v>0</v>
      </c>
    </row>
    <row r="81" spans="1:4" x14ac:dyDescent="0.35">
      <c r="A81" s="1">
        <v>80</v>
      </c>
      <c r="B81" s="1">
        <v>0</v>
      </c>
      <c r="C81" s="1">
        <v>0</v>
      </c>
      <c r="D81" s="1">
        <v>0</v>
      </c>
    </row>
    <row r="82" spans="1:4" x14ac:dyDescent="0.35">
      <c r="A82" s="1">
        <v>81</v>
      </c>
      <c r="B82" s="1">
        <v>0</v>
      </c>
      <c r="C82" s="1">
        <v>0</v>
      </c>
      <c r="D82" s="1">
        <v>0</v>
      </c>
    </row>
    <row r="83" spans="1:4" x14ac:dyDescent="0.35">
      <c r="A83" s="1">
        <v>82</v>
      </c>
      <c r="B83" s="1">
        <v>0</v>
      </c>
      <c r="C83" s="1">
        <v>0</v>
      </c>
      <c r="D83" s="1">
        <v>0</v>
      </c>
    </row>
    <row r="84" spans="1:4" x14ac:dyDescent="0.35">
      <c r="A84" s="1">
        <v>83</v>
      </c>
      <c r="B84" s="1">
        <v>0</v>
      </c>
      <c r="C84" s="1">
        <v>0</v>
      </c>
      <c r="D84" s="1">
        <v>0</v>
      </c>
    </row>
    <row r="85" spans="1:4" x14ac:dyDescent="0.35">
      <c r="A85" s="1">
        <v>84</v>
      </c>
      <c r="B85" s="1">
        <v>0</v>
      </c>
      <c r="C85" s="1">
        <v>0</v>
      </c>
      <c r="D85" s="1">
        <v>0</v>
      </c>
    </row>
    <row r="86" spans="1:4" x14ac:dyDescent="0.35">
      <c r="A86" s="1">
        <v>85</v>
      </c>
      <c r="B86" s="1">
        <v>0</v>
      </c>
      <c r="C86" s="1">
        <v>0</v>
      </c>
      <c r="D86" s="1">
        <v>0</v>
      </c>
    </row>
    <row r="87" spans="1:4" x14ac:dyDescent="0.35">
      <c r="A87" s="1">
        <v>86</v>
      </c>
      <c r="B87" s="1">
        <v>0</v>
      </c>
      <c r="C87" s="1">
        <v>0</v>
      </c>
      <c r="D87" s="1">
        <v>0</v>
      </c>
    </row>
    <row r="88" spans="1:4" x14ac:dyDescent="0.35">
      <c r="A88" s="1">
        <v>87</v>
      </c>
      <c r="B88" s="1">
        <v>0</v>
      </c>
      <c r="C88" s="1">
        <v>0</v>
      </c>
      <c r="D88" s="1">
        <v>0</v>
      </c>
    </row>
    <row r="89" spans="1:4" x14ac:dyDescent="0.35">
      <c r="A89" s="1">
        <v>88</v>
      </c>
      <c r="B89" s="1">
        <v>0</v>
      </c>
      <c r="C89" s="1">
        <v>0</v>
      </c>
      <c r="D89" s="1">
        <v>0</v>
      </c>
    </row>
    <row r="90" spans="1:4" x14ac:dyDescent="0.35">
      <c r="A90" s="1">
        <v>89</v>
      </c>
      <c r="B90" s="1">
        <v>0</v>
      </c>
      <c r="C90" s="1">
        <v>0</v>
      </c>
      <c r="D90" s="1">
        <v>0</v>
      </c>
    </row>
    <row r="91" spans="1:4" x14ac:dyDescent="0.35">
      <c r="A91" s="1">
        <v>90</v>
      </c>
      <c r="B91" s="1">
        <v>0</v>
      </c>
      <c r="C91" s="1">
        <v>0</v>
      </c>
      <c r="D91" s="1">
        <v>0</v>
      </c>
    </row>
    <row r="92" spans="1:4" x14ac:dyDescent="0.35">
      <c r="A92" s="1">
        <v>91</v>
      </c>
      <c r="B92" s="1">
        <v>0</v>
      </c>
      <c r="C92" s="1">
        <v>0</v>
      </c>
      <c r="D92" s="1">
        <v>0</v>
      </c>
    </row>
    <row r="93" spans="1:4" x14ac:dyDescent="0.35">
      <c r="A93" s="1">
        <v>92</v>
      </c>
      <c r="B93" s="1">
        <v>0</v>
      </c>
      <c r="C93" s="1">
        <v>0</v>
      </c>
      <c r="D93" s="1">
        <v>0</v>
      </c>
    </row>
    <row r="94" spans="1:4" x14ac:dyDescent="0.35">
      <c r="A94" s="1">
        <v>93</v>
      </c>
      <c r="B94" s="1">
        <v>0</v>
      </c>
      <c r="C94" s="1">
        <v>0</v>
      </c>
      <c r="D94" s="1">
        <v>0</v>
      </c>
    </row>
    <row r="95" spans="1:4" x14ac:dyDescent="0.35">
      <c r="A95" s="1">
        <v>94</v>
      </c>
      <c r="B95" s="1">
        <v>0</v>
      </c>
      <c r="C95" s="1">
        <v>0</v>
      </c>
      <c r="D95" s="1">
        <v>0</v>
      </c>
    </row>
    <row r="96" spans="1:4" x14ac:dyDescent="0.35">
      <c r="A96" s="1">
        <v>95</v>
      </c>
      <c r="B96" s="1">
        <v>0</v>
      </c>
      <c r="C96" s="1">
        <v>0</v>
      </c>
      <c r="D96" s="1">
        <v>0</v>
      </c>
    </row>
    <row r="97" spans="1:4" x14ac:dyDescent="0.35">
      <c r="A97" s="1">
        <v>96</v>
      </c>
      <c r="B97" s="1">
        <v>0</v>
      </c>
      <c r="C97" s="1">
        <v>0</v>
      </c>
      <c r="D97" s="1">
        <v>0</v>
      </c>
    </row>
    <row r="98" spans="1:4" x14ac:dyDescent="0.35">
      <c r="A98" s="1">
        <v>97</v>
      </c>
      <c r="B98" s="1">
        <v>0</v>
      </c>
      <c r="C98" s="1">
        <v>0</v>
      </c>
      <c r="D98" s="1">
        <v>0</v>
      </c>
    </row>
    <row r="99" spans="1:4" x14ac:dyDescent="0.35">
      <c r="A99" s="1">
        <v>98</v>
      </c>
      <c r="B99" s="1">
        <v>0</v>
      </c>
      <c r="C99" s="1">
        <v>0</v>
      </c>
      <c r="D99" s="1">
        <v>0</v>
      </c>
    </row>
    <row r="100" spans="1:4" x14ac:dyDescent="0.35">
      <c r="A100" s="1">
        <v>99</v>
      </c>
      <c r="B100" s="1">
        <v>0</v>
      </c>
      <c r="C100" s="1">
        <v>0</v>
      </c>
      <c r="D100" s="1">
        <v>0</v>
      </c>
    </row>
    <row r="101" spans="1:4" x14ac:dyDescent="0.35">
      <c r="A101" s="1">
        <v>100</v>
      </c>
      <c r="B101" s="1">
        <v>0</v>
      </c>
      <c r="C101" s="1">
        <v>0</v>
      </c>
      <c r="D101" s="1">
        <v>0</v>
      </c>
    </row>
    <row r="102" spans="1:4" x14ac:dyDescent="0.35">
      <c r="A102" s="1">
        <v>101</v>
      </c>
      <c r="B102" s="1">
        <v>0</v>
      </c>
      <c r="C102" s="1">
        <v>0</v>
      </c>
      <c r="D102" s="1">
        <v>0</v>
      </c>
    </row>
    <row r="103" spans="1:4" x14ac:dyDescent="0.35">
      <c r="A103" s="1">
        <v>102</v>
      </c>
      <c r="B103" s="1">
        <v>0</v>
      </c>
      <c r="C103" s="1">
        <v>0</v>
      </c>
      <c r="D103" s="1">
        <v>0</v>
      </c>
    </row>
    <row r="104" spans="1:4" x14ac:dyDescent="0.35">
      <c r="A104" s="1">
        <v>103</v>
      </c>
      <c r="B104" s="1">
        <v>0</v>
      </c>
      <c r="C104" s="1">
        <v>0</v>
      </c>
      <c r="D104" s="1">
        <v>0</v>
      </c>
    </row>
    <row r="105" spans="1:4" x14ac:dyDescent="0.35">
      <c r="A105" s="1">
        <v>104</v>
      </c>
      <c r="B105" s="1">
        <v>0</v>
      </c>
      <c r="C105" s="1">
        <v>0</v>
      </c>
      <c r="D105" s="1">
        <v>0</v>
      </c>
    </row>
    <row r="106" spans="1:4" x14ac:dyDescent="0.35">
      <c r="A106" s="1">
        <v>105</v>
      </c>
      <c r="B106" s="1">
        <v>0</v>
      </c>
      <c r="C106" s="1">
        <v>0</v>
      </c>
      <c r="D106" s="1">
        <v>0</v>
      </c>
    </row>
    <row r="107" spans="1:4" x14ac:dyDescent="0.35">
      <c r="A107" s="1">
        <v>106</v>
      </c>
      <c r="B107" s="1">
        <v>0</v>
      </c>
      <c r="C107" s="1">
        <v>0</v>
      </c>
      <c r="D107" s="1">
        <v>0</v>
      </c>
    </row>
    <row r="108" spans="1:4" x14ac:dyDescent="0.35">
      <c r="A108" s="1">
        <v>107</v>
      </c>
      <c r="B108" s="1">
        <v>0</v>
      </c>
      <c r="C108" s="1">
        <v>0</v>
      </c>
      <c r="D108" s="1">
        <v>0</v>
      </c>
    </row>
    <row r="109" spans="1:4" x14ac:dyDescent="0.35">
      <c r="A109" s="1">
        <v>108</v>
      </c>
      <c r="B109" s="1">
        <v>0</v>
      </c>
      <c r="C109" s="1">
        <v>0</v>
      </c>
      <c r="D109" s="1">
        <v>0</v>
      </c>
    </row>
    <row r="110" spans="1:4" x14ac:dyDescent="0.35">
      <c r="A110" s="1">
        <v>109</v>
      </c>
      <c r="B110" s="1">
        <v>0</v>
      </c>
      <c r="C110" s="1">
        <v>0</v>
      </c>
      <c r="D110" s="1">
        <v>0</v>
      </c>
    </row>
    <row r="111" spans="1:4" x14ac:dyDescent="0.35">
      <c r="A111" s="1">
        <v>110</v>
      </c>
      <c r="B111" s="1">
        <v>0</v>
      </c>
      <c r="C111" s="1">
        <v>0</v>
      </c>
      <c r="D111" s="1">
        <v>0</v>
      </c>
    </row>
    <row r="112" spans="1:4" x14ac:dyDescent="0.35">
      <c r="A112" s="1">
        <v>111</v>
      </c>
      <c r="B112" s="1">
        <v>0</v>
      </c>
      <c r="C112" s="1">
        <v>0</v>
      </c>
      <c r="D112" s="1">
        <v>0</v>
      </c>
    </row>
    <row r="113" spans="1:4" x14ac:dyDescent="0.35">
      <c r="A113" s="1">
        <v>112</v>
      </c>
      <c r="B113" s="1">
        <v>0</v>
      </c>
      <c r="C113" s="1">
        <v>0</v>
      </c>
      <c r="D113" s="1">
        <v>0</v>
      </c>
    </row>
    <row r="114" spans="1:4" x14ac:dyDescent="0.35">
      <c r="A114" s="1">
        <v>113</v>
      </c>
      <c r="B114" s="1">
        <v>0</v>
      </c>
      <c r="C114" s="1">
        <v>0</v>
      </c>
      <c r="D114" s="1">
        <v>0</v>
      </c>
    </row>
    <row r="115" spans="1:4" x14ac:dyDescent="0.35">
      <c r="A115" s="1">
        <v>114</v>
      </c>
      <c r="B115" s="1">
        <v>0</v>
      </c>
      <c r="C115" s="1">
        <v>0</v>
      </c>
      <c r="D115" s="1">
        <v>0</v>
      </c>
    </row>
    <row r="116" spans="1:4" x14ac:dyDescent="0.35">
      <c r="A116" s="1">
        <v>115</v>
      </c>
      <c r="B116" s="1">
        <v>0</v>
      </c>
      <c r="C116" s="1">
        <v>0</v>
      </c>
      <c r="D116" s="1">
        <v>0</v>
      </c>
    </row>
    <row r="117" spans="1:4" x14ac:dyDescent="0.35">
      <c r="A117" s="1">
        <v>116</v>
      </c>
      <c r="B117" s="1">
        <v>0</v>
      </c>
      <c r="C117" s="1">
        <v>0</v>
      </c>
      <c r="D117" s="1">
        <v>0</v>
      </c>
    </row>
    <row r="118" spans="1:4" x14ac:dyDescent="0.35">
      <c r="A118" s="1">
        <v>117</v>
      </c>
      <c r="B118" s="1">
        <v>0</v>
      </c>
      <c r="C118" s="1">
        <v>0</v>
      </c>
      <c r="D118" s="1">
        <v>0</v>
      </c>
    </row>
    <row r="119" spans="1:4" x14ac:dyDescent="0.35">
      <c r="A119" s="1">
        <v>118</v>
      </c>
      <c r="B119" s="1">
        <v>0</v>
      </c>
      <c r="C119" s="1">
        <v>0</v>
      </c>
      <c r="D119" s="1">
        <v>0</v>
      </c>
    </row>
    <row r="120" spans="1:4" x14ac:dyDescent="0.35">
      <c r="A120" s="1">
        <v>119</v>
      </c>
      <c r="B120" s="1">
        <v>0</v>
      </c>
      <c r="C120" s="1">
        <v>0</v>
      </c>
      <c r="D120" s="1">
        <v>0</v>
      </c>
    </row>
    <row r="121" spans="1:4" x14ac:dyDescent="0.35">
      <c r="A121" s="1">
        <v>120</v>
      </c>
      <c r="B121" s="1">
        <v>0</v>
      </c>
      <c r="C121" s="1">
        <v>0</v>
      </c>
      <c r="D121" s="1">
        <v>0</v>
      </c>
    </row>
    <row r="122" spans="1:4" x14ac:dyDescent="0.35">
      <c r="A122" s="1">
        <v>121</v>
      </c>
      <c r="B122" s="1">
        <v>0</v>
      </c>
      <c r="C122" s="1">
        <v>0</v>
      </c>
      <c r="D122" s="1">
        <v>0</v>
      </c>
    </row>
    <row r="123" spans="1:4" x14ac:dyDescent="0.35">
      <c r="A123" s="1">
        <v>122</v>
      </c>
      <c r="B123" s="1">
        <v>0</v>
      </c>
      <c r="C123" s="1">
        <v>0</v>
      </c>
      <c r="D123" s="1">
        <v>0</v>
      </c>
    </row>
    <row r="124" spans="1:4" x14ac:dyDescent="0.35">
      <c r="A124" s="1">
        <v>123</v>
      </c>
      <c r="B124" s="1">
        <v>0</v>
      </c>
      <c r="C124" s="1">
        <v>0</v>
      </c>
      <c r="D124" s="1">
        <v>0</v>
      </c>
    </row>
    <row r="125" spans="1:4" x14ac:dyDescent="0.35">
      <c r="A125" s="1">
        <v>124</v>
      </c>
      <c r="B125" s="1">
        <v>0</v>
      </c>
      <c r="C125" s="1">
        <v>0</v>
      </c>
      <c r="D125" s="1">
        <v>0</v>
      </c>
    </row>
    <row r="126" spans="1:4" x14ac:dyDescent="0.35">
      <c r="A126" s="1">
        <v>125</v>
      </c>
      <c r="B126" s="1">
        <v>0</v>
      </c>
      <c r="C126" s="1">
        <v>0</v>
      </c>
      <c r="D126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42</vt:i4>
      </vt:variant>
    </vt:vector>
  </HeadingPairs>
  <TitlesOfParts>
    <vt:vector size="42" baseType="lpstr">
      <vt:lpstr>Palmares</vt:lpstr>
      <vt:lpstr>Semilla Liga Plata</vt:lpstr>
      <vt:lpstr>Ranking Masculino</vt:lpstr>
      <vt:lpstr>Ranking Senior</vt:lpstr>
      <vt:lpstr>Ranking Rookie</vt:lpstr>
      <vt:lpstr>Ranking Plata</vt:lpstr>
      <vt:lpstr>Etapa 1 Masculino</vt:lpstr>
      <vt:lpstr>Etapa 1 Senior</vt:lpstr>
      <vt:lpstr>Etapa 1 Rookie</vt:lpstr>
      <vt:lpstr>Etapa 10 absoluta</vt:lpstr>
      <vt:lpstr>Etapa 10 Senior</vt:lpstr>
      <vt:lpstr>Etapa 5 Plata</vt:lpstr>
      <vt:lpstr>Etapa 10 Rookie</vt:lpstr>
      <vt:lpstr>Etapa 9 Absoluta</vt:lpstr>
      <vt:lpstr>Etapa 9 Senior</vt:lpstr>
      <vt:lpstr>Etapa 9 Rookie</vt:lpstr>
      <vt:lpstr>Etapa 4 Plata</vt:lpstr>
      <vt:lpstr>Etapa 8 Absoluta</vt:lpstr>
      <vt:lpstr>Etapa 8 Senior</vt:lpstr>
      <vt:lpstr>Etapa 8 Rookie</vt:lpstr>
      <vt:lpstr>Etapa 3 Plata</vt:lpstr>
      <vt:lpstr>Etapa 7 absoluta</vt:lpstr>
      <vt:lpstr>Etapa 7 Senior</vt:lpstr>
      <vt:lpstr>Etapa 7 Rookie</vt:lpstr>
      <vt:lpstr>Etapa 2 Plata</vt:lpstr>
      <vt:lpstr>Etapa 6 Absoluta</vt:lpstr>
      <vt:lpstr>Etapa 6 Senior</vt:lpstr>
      <vt:lpstr>Etapa 6 Rookie</vt:lpstr>
      <vt:lpstr>Etapa 1 Plata</vt:lpstr>
      <vt:lpstr>Etapa 5 Absoluta</vt:lpstr>
      <vt:lpstr>Etapa 5 Senior</vt:lpstr>
      <vt:lpstr>Etapa 5 Rookie</vt:lpstr>
      <vt:lpstr>Etapa 4 Absoluta</vt:lpstr>
      <vt:lpstr>Etapa 4 Senior</vt:lpstr>
      <vt:lpstr>Etapa 4 Rookie</vt:lpstr>
      <vt:lpstr>Etapa 2 Masculina</vt:lpstr>
      <vt:lpstr>Etapa 2 Senior</vt:lpstr>
      <vt:lpstr>Etapa 2 Rookie</vt:lpstr>
      <vt:lpstr>Etapa 3 Absoluta</vt:lpstr>
      <vt:lpstr>Etapa 3 Senior</vt:lpstr>
      <vt:lpstr>Etapa 3 Rookie</vt:lpstr>
      <vt:lpstr>Puntuacion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Ramon Perez Gonzalez</cp:lastModifiedBy>
  <cp:revision/>
  <dcterms:created xsi:type="dcterms:W3CDTF">2025-01-19T20:08:50Z</dcterms:created>
  <dcterms:modified xsi:type="dcterms:W3CDTF">2026-03-16T18:49:26Z</dcterms:modified>
  <cp:category/>
  <cp:contentStatus/>
</cp:coreProperties>
</file>